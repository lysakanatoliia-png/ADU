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ummary" sheetId="1" state="visible" r:id="rId1"/>
    <sheet xmlns:r="http://schemas.openxmlformats.org/officeDocument/2006/relationships" name="02_Site_Exterior_Utilities" sheetId="2" state="visible" r:id="rId2"/>
    <sheet xmlns:r="http://schemas.openxmlformats.org/officeDocument/2006/relationships" name="03_Raised_Floor_System" sheetId="3" state="visible" r:id="rId3"/>
    <sheet xmlns:r="http://schemas.openxmlformats.org/officeDocument/2006/relationships" name="04_Framing" sheetId="4" state="visible" r:id="rId4"/>
    <sheet xmlns:r="http://schemas.openxmlformats.org/officeDocument/2006/relationships" name="05_Doors_Windows" sheetId="5" state="visible" r:id="rId5"/>
    <sheet xmlns:r="http://schemas.openxmlformats.org/officeDocument/2006/relationships" name="06_Plumbing_Roughin" sheetId="6" state="visible" r:id="rId6"/>
    <sheet xmlns:r="http://schemas.openxmlformats.org/officeDocument/2006/relationships" name="07_Electrical_Roughin" sheetId="7" state="visible" r:id="rId7"/>
    <sheet xmlns:r="http://schemas.openxmlformats.org/officeDocument/2006/relationships" name="08_HVAC_MiniSplit" sheetId="8" state="visible" r:id="rId8"/>
    <sheet xmlns:r="http://schemas.openxmlformats.org/officeDocument/2006/relationships" name="09_Insulation" sheetId="9" state="visible" r:id="rId9"/>
    <sheet xmlns:r="http://schemas.openxmlformats.org/officeDocument/2006/relationships" name="10_Drywall" sheetId="10" state="visible" r:id="rId10"/>
    <sheet xmlns:r="http://schemas.openxmlformats.org/officeDocument/2006/relationships" name="11_Paint" sheetId="11" state="visible" r:id="rId11"/>
    <sheet xmlns:r="http://schemas.openxmlformats.org/officeDocument/2006/relationships" name="12_Flooring_Trim" sheetId="12" state="visible" r:id="rId12"/>
    <sheet xmlns:r="http://schemas.openxmlformats.org/officeDocument/2006/relationships" name="13_Kitchen_Cabinets" sheetId="13" state="visible" r:id="rId13"/>
    <sheet xmlns:r="http://schemas.openxmlformats.org/officeDocument/2006/relationships" name="14_Bathroom_Fixtures" sheetId="14" state="visible" r:id="rId14"/>
    <sheet xmlns:r="http://schemas.openxmlformats.org/officeDocument/2006/relationships" name="15_Closet_System" sheetId="15" state="visible" r:id="rId15"/>
    <sheet xmlns:r="http://schemas.openxmlformats.org/officeDocument/2006/relationships" name="16_Water_Heater" sheetId="16" state="visible" r:id="rId16"/>
    <sheet xmlns:r="http://schemas.openxmlformats.org/officeDocument/2006/relationships" name="17_Appliances" sheetId="17" state="visible" r:id="rId17"/>
    <sheet xmlns:r="http://schemas.openxmlformats.org/officeDocument/2006/relationships" name="18_Furniture_IKEA" sheetId="18" state="visible" r:id="rId18"/>
    <sheet xmlns:r="http://schemas.openxmlformats.org/officeDocument/2006/relationships" name="19_Special_Orders" sheetId="19" state="visible" r:id="rId19"/>
    <sheet xmlns:r="http://schemas.openxmlformats.org/officeDocument/2006/relationships" name="20_Verification_Items" sheetId="20" state="visible" r:id="rId20"/>
  </sheets>
  <definedNames>
    <definedName name="_xlnm._FilterDatabase" localSheetId="1" hidden="1">'02_Site_Exterior_Utilities'!$A$4:$Q$53</definedName>
    <definedName name="_xlnm._FilterDatabase" localSheetId="2" hidden="1">'03_Raised_Floor_System'!$A$4:$Q$26</definedName>
    <definedName name="_xlnm._FilterDatabase" localSheetId="3" hidden="1">'04_Framing'!$A$4:$Q$27</definedName>
    <definedName name="_xlnm._FilterDatabase" localSheetId="4" hidden="1">'05_Doors_Windows'!$A$4:$Q$34</definedName>
    <definedName name="_xlnm._FilterDatabase" localSheetId="5" hidden="1">'06_Plumbing_Roughin'!$A$4:$Q$38</definedName>
    <definedName name="_xlnm._FilterDatabase" localSheetId="6" hidden="1">'07_Electrical_Roughin'!$A$4:$Q$41</definedName>
    <definedName name="_xlnm._FilterDatabase" localSheetId="7" hidden="1">'08_HVAC_MiniSplit'!$A$4:$Q$28</definedName>
    <definedName name="_xlnm._FilterDatabase" localSheetId="8" hidden="1">'09_Insulation'!$A$4:$Q$20</definedName>
    <definedName name="_xlnm._FilterDatabase" localSheetId="9" hidden="1">'10_Drywall'!$A$4:$Q$24</definedName>
    <definedName name="_xlnm._FilterDatabase" localSheetId="10" hidden="1">'11_Paint'!$A$4:$Q$24</definedName>
    <definedName name="_xlnm._FilterDatabase" localSheetId="11" hidden="1">'12_Flooring_Trim'!$A$4:$Q$18</definedName>
    <definedName name="_xlnm._FilterDatabase" localSheetId="12" hidden="1">'13_Kitchen_Cabinets'!$A$4:$Q$36</definedName>
    <definedName name="_xlnm._FilterDatabase" localSheetId="13" hidden="1">'14_Bathroom_Fixtures'!$A$4:$Q$46</definedName>
    <definedName name="_xlnm._FilterDatabase" localSheetId="14" hidden="1">'15_Closet_System'!$A$4:$Q$21</definedName>
    <definedName name="_xlnm._FilterDatabase" localSheetId="15" hidden="1">'16_Water_Heater'!$A$4:$Q$21</definedName>
    <definedName name="_xlnm._FilterDatabase" localSheetId="16" hidden="1">'17_Appliances'!$A$4:$Q$21</definedName>
    <definedName name="_xlnm._FilterDatabase" localSheetId="17" hidden="1">'18_Furniture_IKEA'!$A$4:$Q$31</definedName>
    <definedName name="_xlnm._FilterDatabase" localSheetId="18" hidden="1">'19_Special_Orders'!$A$4:$Q$11</definedName>
    <definedName name="_xlnm._FilterDatabase" localSheetId="19" hidden="1">'20_Verification_Items'!$A$4:$Q$30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#,##0.##"/>
  </numFmts>
  <fonts count="10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FFFFFF"/>
      <sz val="11"/>
    </font>
    <font>
      <b val="1"/>
      <sz val="11"/>
    </font>
    <font>
      <b val="1"/>
    </font>
    <font>
      <i val="1"/>
      <color rgb="00606060"/>
      <sz val="9"/>
    </font>
    <font>
      <sz val="10"/>
    </font>
    <font>
      <i val="1"/>
      <color rgb="00808080"/>
      <sz val="10"/>
    </font>
    <font>
      <i val="1"/>
      <color rgb="002E7D32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FD9D9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6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6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4" fillId="3" borderId="1" pivotButton="0" quotePrefix="0" xfId="0"/>
    <xf numFmtId="164" fontId="0" fillId="0" borderId="1" pivotButton="0" quotePrefix="0" xfId="0"/>
    <xf numFmtId="0" fontId="0" fillId="0" borderId="4" pivotButton="0" quotePrefix="0" xfId="0"/>
    <xf numFmtId="166" fontId="0" fillId="0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50" customWidth="1" min="4" max="4"/>
    <col width="8" customWidth="1" min="5" max="5"/>
    <col width="14" customWidth="1" min="6" max="6"/>
    <col width="12" customWidth="1" min="7" max="7"/>
  </cols>
  <sheetData>
    <row r="1" ht="28" customHeight="1">
      <c r="A1" s="1" t="inlineStr">
        <is>
          <t>ADU Materials Estimate V2 — Зведений по фазам</t>
        </is>
      </c>
    </row>
    <row r="3">
      <c r="A3" s="2" t="inlineStr">
        <is>
          <t>Проєкт</t>
        </is>
      </c>
      <c r="B3" t="inlineStr">
        <is>
          <t>Garage Conversion to ADU</t>
        </is>
      </c>
    </row>
    <row r="4">
      <c r="A4" s="2" t="inlineStr">
        <is>
          <t>Локація</t>
        </is>
      </c>
      <c r="B4" t="inlineStr">
        <is>
          <t>Menlo Park, California 94025</t>
        </is>
      </c>
    </row>
    <row r="5">
      <c r="A5" s="2" t="inlineStr">
        <is>
          <t>Total ADU Area</t>
        </is>
      </c>
      <c r="B5" t="inlineStr">
        <is>
          <t>315 sq ft (15' × 21')</t>
        </is>
      </c>
    </row>
    <row r="6">
      <c r="A6" s="2" t="inlineStr">
        <is>
          <t>Ceiling</t>
        </is>
      </c>
      <c r="B6" t="inlineStr">
        <is>
          <t>Vaulted: 8 ft edges / 12 ft center</t>
        </is>
      </c>
    </row>
    <row r="7">
      <c r="A7" s="2" t="inlineStr">
        <is>
          <t>Raised Floor</t>
        </is>
      </c>
      <c r="B7" t="inlineStr">
        <is>
          <t>10 inches</t>
        </is>
      </c>
    </row>
    <row r="8">
      <c r="A8" s="2" t="inlineStr">
        <is>
          <t>Estimate Type</t>
        </is>
      </c>
      <c r="B8" t="inlineStr">
        <is>
          <t>Materials only (no labor / fees / tax per ТЗ §32)</t>
        </is>
      </c>
    </row>
    <row r="9">
      <c r="A9" s="2" t="inlineStr">
        <is>
          <t>Approach</t>
        </is>
      </c>
      <c r="B9" t="inlineStr">
        <is>
          <t>Construction phases (shell-to-finish, coробка готова)</t>
        </is>
      </c>
    </row>
    <row r="10">
      <c r="A10" s="2" t="inlineStr">
        <is>
          <t>Sources</t>
        </is>
      </c>
      <c r="B10" t="inlineStr">
        <is>
          <t>Home Depot / IKEA / Best Buy / Amazon / Special Order</t>
        </is>
      </c>
    </row>
    <row r="11">
      <c r="A11" s="2" t="inlineStr">
        <is>
          <t>Дата створення</t>
        </is>
      </c>
      <c r="B11" t="inlineStr">
        <is>
          <t>2026-05-28</t>
        </is>
      </c>
    </row>
    <row r="12">
      <c r="A12" s="2" t="inlineStr">
        <is>
          <t>Статус</t>
        </is>
      </c>
      <c r="B12" t="inlineStr">
        <is>
          <t>V2 Draft — phase-based, потребує заповнення цін</t>
        </is>
      </c>
    </row>
    <row r="15">
      <c r="A15" s="3" t="inlineStr">
        <is>
          <t>Розподіл по construction phases</t>
        </is>
      </c>
    </row>
    <row r="16" ht="28" customHeight="1">
      <c r="A16" s="4" t="inlineStr">
        <is>
          <t>#</t>
        </is>
      </c>
      <c r="B16" s="4" t="inlineStr">
        <is>
          <t>Phase / Лист</t>
        </is>
      </c>
      <c r="C16" s="4" t="inlineStr">
        <is>
          <t>Phase Label</t>
        </is>
      </c>
      <c r="D16" s="4" t="inlineStr">
        <is>
          <t>Опис</t>
        </is>
      </c>
      <c r="E16" s="4" t="inlineStr">
        <is>
          <t>Items</t>
        </is>
      </c>
      <c r="F16" s="4" t="inlineStr">
        <is>
          <t>Subtotal ($)</t>
        </is>
      </c>
      <c r="G16" s="4" t="inlineStr">
        <is>
          <t>% of Total</t>
        </is>
      </c>
    </row>
    <row r="17">
      <c r="A17" s="5" t="n">
        <v>1</v>
      </c>
      <c r="B17" s="5" t="inlineStr">
        <is>
          <t>02_Site_Exterior_Utilities</t>
        </is>
      </c>
      <c r="C17" s="5" t="inlineStr">
        <is>
          <t>Site / Trenching</t>
        </is>
      </c>
      <c r="D17" s="5" t="inlineStr">
        <is>
          <t>Phase 1 — Site &amp; Exterior Utilities (§19)</t>
        </is>
      </c>
      <c r="E17" s="5" t="n">
        <v>49</v>
      </c>
      <c r="F17" s="22">
        <f>'02_Site_Exterior_Utilities'!K55</f>
        <v/>
      </c>
      <c r="G17" s="23">
        <f>IF($F$37=0,"",F17/$F$37)</f>
        <v/>
      </c>
    </row>
    <row r="18">
      <c r="A18" s="5" t="n">
        <v>2</v>
      </c>
      <c r="B18" s="5" t="inlineStr">
        <is>
          <t>03_Raised_Floor_System</t>
        </is>
      </c>
      <c r="C18" s="5" t="inlineStr">
        <is>
          <t>Floor System</t>
        </is>
      </c>
      <c r="D18" s="5" t="inlineStr">
        <is>
          <t>Phase 2 — Raised Floor System (§17)</t>
        </is>
      </c>
      <c r="E18" s="5" t="n">
        <v>22</v>
      </c>
      <c r="F18" s="22">
        <f>'03_Raised_Floor_System'!K28</f>
        <v/>
      </c>
      <c r="G18" s="23">
        <f>IF($F$37=0,"",F18/$F$37)</f>
        <v/>
      </c>
    </row>
    <row r="19">
      <c r="A19" s="5" t="n">
        <v>3</v>
      </c>
      <c r="B19" s="5" t="inlineStr">
        <is>
          <t>04_Framing</t>
        </is>
      </c>
      <c r="C19" s="5" t="inlineStr">
        <is>
          <t>Framing</t>
        </is>
      </c>
      <c r="D19" s="5" t="inlineStr">
        <is>
          <t>Phase 3 — Framing (§18)</t>
        </is>
      </c>
      <c r="E19" s="5" t="n">
        <v>23</v>
      </c>
      <c r="F19" s="22">
        <f>'04_Framing'!K29</f>
        <v/>
      </c>
      <c r="G19" s="23">
        <f>IF($F$37=0,"",F19/$F$37)</f>
        <v/>
      </c>
    </row>
    <row r="20">
      <c r="A20" s="5" t="n">
        <v>4</v>
      </c>
      <c r="B20" s="5" t="inlineStr">
        <is>
          <t>05_Doors_Windows</t>
        </is>
      </c>
      <c r="C20" s="5" t="inlineStr">
        <is>
          <t>Openings</t>
        </is>
      </c>
      <c r="D20" s="5" t="inlineStr">
        <is>
          <t>Phase 4 — Doors &amp; Windows / Openings (§25)</t>
        </is>
      </c>
      <c r="E20" s="5" t="n">
        <v>30</v>
      </c>
      <c r="F20" s="22">
        <f>'05_Doors_Windows'!K36</f>
        <v/>
      </c>
      <c r="G20" s="23">
        <f>IF($F$37=0,"",F20/$F$37)</f>
        <v/>
      </c>
    </row>
    <row r="21">
      <c r="A21" s="5" t="n">
        <v>5</v>
      </c>
      <c r="B21" s="5" t="inlineStr">
        <is>
          <t>06_Plumbing_Roughin</t>
        </is>
      </c>
      <c r="C21" s="5" t="inlineStr">
        <is>
          <t>Plumbing R-I</t>
        </is>
      </c>
      <c r="D21" s="5" t="inlineStr">
        <is>
          <t>Phase 5 — Plumbing Rough-in (§20)</t>
        </is>
      </c>
      <c r="E21" s="5" t="n">
        <v>34</v>
      </c>
      <c r="F21" s="22">
        <f>'06_Plumbing_Roughin'!K40</f>
        <v/>
      </c>
      <c r="G21" s="23">
        <f>IF($F$37=0,"",F21/$F$37)</f>
        <v/>
      </c>
    </row>
    <row r="22">
      <c r="A22" s="5" t="n">
        <v>6</v>
      </c>
      <c r="B22" s="5" t="inlineStr">
        <is>
          <t>07_Electrical_Roughin</t>
        </is>
      </c>
      <c r="C22" s="5" t="inlineStr">
        <is>
          <t>Electrical R-I</t>
        </is>
      </c>
      <c r="D22" s="5" t="inlineStr">
        <is>
          <t>Phase 6 — Electrical Rough-in (§21)</t>
        </is>
      </c>
      <c r="E22" s="5" t="n">
        <v>37</v>
      </c>
      <c r="F22" s="22">
        <f>'07_Electrical_Roughin'!K43</f>
        <v/>
      </c>
      <c r="G22" s="23">
        <f>IF($F$37=0,"",F22/$F$37)</f>
        <v/>
      </c>
    </row>
    <row r="23">
      <c r="A23" s="5" t="n">
        <v>7</v>
      </c>
      <c r="B23" s="5" t="inlineStr">
        <is>
          <t>08_HVAC_MiniSplit</t>
        </is>
      </c>
      <c r="C23" s="5" t="inlineStr">
        <is>
          <t>HVAC</t>
        </is>
      </c>
      <c r="D23" s="5" t="inlineStr">
        <is>
          <t>Phase 7 — HVAC Mini-Split (§22)</t>
        </is>
      </c>
      <c r="E23" s="5" t="n">
        <v>24</v>
      </c>
      <c r="F23" s="22">
        <f>'08_HVAC_MiniSplit'!K30</f>
        <v/>
      </c>
      <c r="G23" s="23">
        <f>IF($F$37=0,"",F23/$F$37)</f>
        <v/>
      </c>
    </row>
    <row r="24">
      <c r="A24" s="5" t="n">
        <v>8</v>
      </c>
      <c r="B24" s="5" t="inlineStr">
        <is>
          <t>09_Insulation</t>
        </is>
      </c>
      <c r="C24" s="5" t="inlineStr">
        <is>
          <t>Insulation</t>
        </is>
      </c>
      <c r="D24" s="5" t="inlineStr">
        <is>
          <t>Phase 8 — Insulation (§23)</t>
        </is>
      </c>
      <c r="E24" s="5" t="n">
        <v>16</v>
      </c>
      <c r="F24" s="22">
        <f>'09_Insulation'!K22</f>
        <v/>
      </c>
      <c r="G24" s="23">
        <f>IF($F$37=0,"",F24/$F$37)</f>
        <v/>
      </c>
    </row>
    <row r="25">
      <c r="A25" s="5" t="n">
        <v>9</v>
      </c>
      <c r="B25" s="5" t="inlineStr">
        <is>
          <t>10_Drywall</t>
        </is>
      </c>
      <c r="C25" s="5" t="inlineStr">
        <is>
          <t>Drywall</t>
        </is>
      </c>
      <c r="D25" s="5" t="inlineStr">
        <is>
          <t>Phase 9 — Drywall (§24)</t>
        </is>
      </c>
      <c r="E25" s="5" t="n">
        <v>20</v>
      </c>
      <c r="F25" s="22">
        <f>'10_Drywall'!K26</f>
        <v/>
      </c>
      <c r="G25" s="23">
        <f>IF($F$37=0,"",F25/$F$37)</f>
        <v/>
      </c>
    </row>
    <row r="26">
      <c r="A26" s="5" t="n">
        <v>10</v>
      </c>
      <c r="B26" s="5" t="inlineStr">
        <is>
          <t>11_Paint</t>
        </is>
      </c>
      <c r="C26" s="5" t="inlineStr">
        <is>
          <t>Paint</t>
        </is>
      </c>
      <c r="D26" s="5" t="inlineStr">
        <is>
          <t>Phase 10 — Paint (§27)</t>
        </is>
      </c>
      <c r="E26" s="5" t="n">
        <v>20</v>
      </c>
      <c r="F26" s="22">
        <f>'11_Paint'!K26</f>
        <v/>
      </c>
      <c r="G26" s="23">
        <f>IF($F$37=0,"",F26/$F$37)</f>
        <v/>
      </c>
    </row>
    <row r="27">
      <c r="A27" s="5" t="n">
        <v>11</v>
      </c>
      <c r="B27" s="5" t="inlineStr">
        <is>
          <t>12_Flooring_Trim</t>
        </is>
      </c>
      <c r="C27" s="5" t="inlineStr">
        <is>
          <t>Flooring</t>
        </is>
      </c>
      <c r="D27" s="5" t="inlineStr">
        <is>
          <t>Phase 11 — Flooring &amp; Trim (§26)</t>
        </is>
      </c>
      <c r="E27" s="5" t="n">
        <v>14</v>
      </c>
      <c r="F27" s="22">
        <f>'12_Flooring_Trim'!K20</f>
        <v/>
      </c>
      <c r="G27" s="23">
        <f>IF($F$37=0,"",F27/$F$37)</f>
        <v/>
      </c>
    </row>
    <row r="28">
      <c r="A28" s="5" t="n">
        <v>12</v>
      </c>
      <c r="B28" s="5" t="inlineStr">
        <is>
          <t>13_Kitchen_Cabinets</t>
        </is>
      </c>
      <c r="C28" s="5" t="inlineStr">
        <is>
          <t>Cabinetry</t>
        </is>
      </c>
      <c r="D28" s="5" t="inlineStr">
        <is>
          <t>Phase 12 — Kitchen Cabinets &amp; Countertop (§11)</t>
        </is>
      </c>
      <c r="E28" s="5" t="n">
        <v>32</v>
      </c>
      <c r="F28" s="22">
        <f>'13_Kitchen_Cabinets'!K38</f>
        <v/>
      </c>
      <c r="G28" s="23">
        <f>IF($F$37=0,"",F28/$F$37)</f>
        <v/>
      </c>
    </row>
    <row r="29">
      <c r="A29" s="5" t="n">
        <v>13</v>
      </c>
      <c r="B29" s="5" t="inlineStr">
        <is>
          <t>14_Bathroom_Fixtures</t>
        </is>
      </c>
      <c r="C29" s="5" t="inlineStr">
        <is>
          <t>Finish — Fixtures</t>
        </is>
      </c>
      <c r="D29" s="5" t="inlineStr">
        <is>
          <t>Phase 13 — Bathroom Fixtures (§14)</t>
        </is>
      </c>
      <c r="E29" s="5" t="n">
        <v>42</v>
      </c>
      <c r="F29" s="22">
        <f>'14_Bathroom_Fixtures'!K48</f>
        <v/>
      </c>
      <c r="G29" s="23">
        <f>IF($F$37=0,"",F29/$F$37)</f>
        <v/>
      </c>
    </row>
    <row r="30">
      <c r="A30" s="5" t="n">
        <v>14</v>
      </c>
      <c r="B30" s="5" t="inlineStr">
        <is>
          <t>15_Closet_System</t>
        </is>
      </c>
      <c r="C30" s="5" t="inlineStr">
        <is>
          <t>Furnishing</t>
        </is>
      </c>
      <c r="D30" s="5" t="inlineStr">
        <is>
          <t>Phase 14 — Closet System (§13)</t>
        </is>
      </c>
      <c r="E30" s="5" t="n">
        <v>17</v>
      </c>
      <c r="F30" s="22">
        <f>'15_Closet_System'!K23</f>
        <v/>
      </c>
      <c r="G30" s="23">
        <f>IF($F$37=0,"",F30/$F$37)</f>
        <v/>
      </c>
    </row>
    <row r="31">
      <c r="A31" s="5" t="n">
        <v>15</v>
      </c>
      <c r="B31" s="5" t="inlineStr">
        <is>
          <t>16_Water_Heater</t>
        </is>
      </c>
      <c r="C31" s="5" t="inlineStr">
        <is>
          <t>MEP — Water Heater</t>
        </is>
      </c>
      <c r="D31" s="5" t="inlineStr">
        <is>
          <t>Phase 15 — Water Heater &amp; Utility (§16)</t>
        </is>
      </c>
      <c r="E31" s="5" t="n">
        <v>17</v>
      </c>
      <c r="F31" s="22">
        <f>'16_Water_Heater'!K23</f>
        <v/>
      </c>
      <c r="G31" s="23">
        <f>IF($F$37=0,"",F31/$F$37)</f>
        <v/>
      </c>
    </row>
    <row r="32">
      <c r="A32" s="5" t="n">
        <v>16</v>
      </c>
      <c r="B32" s="5" t="inlineStr">
        <is>
          <t>17_Appliances</t>
        </is>
      </c>
      <c r="C32" s="5" t="inlineStr">
        <is>
          <t>Appliances</t>
        </is>
      </c>
      <c r="D32" s="5" t="inlineStr">
        <is>
          <t>Phase 16 — Appliances (§28)</t>
        </is>
      </c>
      <c r="E32" s="5" t="n">
        <v>17</v>
      </c>
      <c r="F32" s="22">
        <f>'17_Appliances'!K23</f>
        <v/>
      </c>
      <c r="G32" s="23">
        <f>IF($F$37=0,"",F32/$F$37)</f>
        <v/>
      </c>
    </row>
    <row r="33">
      <c r="A33" s="5" t="n">
        <v>17</v>
      </c>
      <c r="B33" s="5" t="inlineStr">
        <is>
          <t>18_Furniture_IKEA</t>
        </is>
      </c>
      <c r="C33" s="5" t="inlineStr">
        <is>
          <t>Furniture</t>
        </is>
      </c>
      <c r="D33" s="5" t="inlineStr">
        <is>
          <t>Phase 17 — Furniture (§29)</t>
        </is>
      </c>
      <c r="E33" s="5" t="n">
        <v>27</v>
      </c>
      <c r="F33" s="22">
        <f>'18_Furniture_IKEA'!K33</f>
        <v/>
      </c>
      <c r="G33" s="23">
        <f>IF($F$37=0,"",F33/$F$37)</f>
        <v/>
      </c>
    </row>
    <row r="34">
      <c r="A34" s="5" t="n">
        <v>18</v>
      </c>
      <c r="B34" s="5" t="inlineStr">
        <is>
          <t>19_Special_Orders</t>
        </is>
      </c>
      <c r="C34" s="5" t="inlineStr">
        <is>
          <t>Special Order</t>
        </is>
      </c>
      <c r="D34" s="5" t="inlineStr">
        <is>
          <t>Cross-reference — Special Orders (§31.5)</t>
        </is>
      </c>
      <c r="E34" s="5" t="n">
        <v>7</v>
      </c>
      <c r="F34" s="22">
        <f>'19_Special_Orders'!K13</f>
        <v/>
      </c>
      <c r="G34" s="23">
        <f>IF($F$37=0,"",F34/$F$37)</f>
        <v/>
      </c>
    </row>
    <row r="35">
      <c r="A35" s="5" t="n">
        <v>19</v>
      </c>
      <c r="B35" s="5" t="inlineStr">
        <is>
          <t>20_Verification_Items</t>
        </is>
      </c>
      <c r="C35" s="5" t="inlineStr">
        <is>
          <t>Verification</t>
        </is>
      </c>
      <c r="D35" s="5" t="inlineStr">
        <is>
          <t>Cross-reference — Verification Items (§33)</t>
        </is>
      </c>
      <c r="E35" s="5" t="n">
        <v>26</v>
      </c>
      <c r="F35" s="22">
        <f>'20_Verification_Items'!K32</f>
        <v/>
      </c>
      <c r="G35" s="23">
        <f>IF($F$37=0,"",F35/$F$37)</f>
        <v/>
      </c>
    </row>
    <row r="37">
      <c r="A37" s="8" t="n"/>
      <c r="B37" s="9" t="inlineStr">
        <is>
          <t>GRAND TOTAL</t>
        </is>
      </c>
      <c r="C37" s="8" t="n"/>
      <c r="D37" s="8" t="n"/>
      <c r="E37" s="8" t="n"/>
      <c r="F37" s="24">
        <f>SUM(F17:F35)</f>
        <v/>
      </c>
      <c r="G37" s="8" t="n"/>
    </row>
    <row r="39">
      <c r="A39" s="11" t="inlineStr">
        <is>
          <t>ℹ️  Phase 19 (Special Orders) = CROSS-REFERENCE only. Items already in respective phases (Phase 4, 7, 15, 16). Не додає до Grand Total.</t>
        </is>
      </c>
    </row>
    <row r="40">
      <c r="A40" s="11" t="inlineStr">
        <is>
          <t>ℹ️  Phase 20 (Verification Items) = 26 пунктів §33 not priced, but may change quantities after field verification.</t>
        </is>
      </c>
    </row>
    <row r="42">
      <c r="A42" s="3" t="inlineStr">
        <is>
          <t>📊  Reference Totals (НЕ включено в Grand Total)</t>
        </is>
      </c>
    </row>
    <row r="43">
      <c r="A43" s="12" t="inlineStr">
        <is>
          <t>Item</t>
        </is>
      </c>
      <c r="B43" s="12" t="inlineStr">
        <is>
          <t>$</t>
        </is>
      </c>
    </row>
    <row r="44">
      <c r="A44" s="13" t="inlineStr">
        <is>
          <t>Grand Total — Materials Only</t>
        </is>
      </c>
      <c r="B44" s="25">
        <f>F37</f>
        <v/>
      </c>
      <c r="C44" s="26" t="n"/>
    </row>
    <row r="45">
      <c r="A45" s="13" t="inlineStr">
        <is>
          <t>Estimated CA Sales Tax 9.375% (reference)</t>
        </is>
      </c>
      <c r="B45" s="25">
        <f>F37*0.09375</f>
        <v/>
      </c>
      <c r="C45" s="26" t="n"/>
    </row>
    <row r="46">
      <c r="A46" s="13" t="inlineStr">
        <is>
          <t>Materials + Tax (reference)</t>
        </is>
      </c>
      <c r="B46" s="25">
        <f>F37*1.09375</f>
        <v/>
      </c>
      <c r="C46" s="26" t="n"/>
    </row>
    <row r="47">
      <c r="A47" s="13" t="inlineStr">
        <is>
          <t>10% Material Buffer (reference)</t>
        </is>
      </c>
      <c r="B47" s="25">
        <f>F37*0.10</f>
        <v/>
      </c>
      <c r="C47" s="26" t="n"/>
    </row>
    <row r="48">
      <c r="A48" s="13" t="inlineStr">
        <is>
          <t>15% Material Buffer (reference)</t>
        </is>
      </c>
      <c r="B48" s="25">
        <f>F37*0.15</f>
        <v/>
      </c>
      <c r="C48" s="26" t="n"/>
    </row>
    <row r="49">
      <c r="A49" s="13" t="inlineStr">
        <is>
          <t>20% Material Buffer (reference)</t>
        </is>
      </c>
      <c r="B49" s="25">
        <f>F37*0.20</f>
        <v/>
      </c>
      <c r="C49" s="26" t="n"/>
    </row>
    <row r="50">
      <c r="A50" s="13" t="inlineStr">
        <is>
          <t>Materials + Tax + 15% Buffer (planning)</t>
        </is>
      </c>
      <c r="B50" s="25">
        <f>F37*1.09375 + F37*0.15</f>
        <v/>
      </c>
      <c r="C50" s="26" t="n"/>
    </row>
    <row r="53">
      <c r="A53" s="3" t="inlineStr">
        <is>
          <t>🔝  Top Cost Drivers (top phases по сумі)</t>
        </is>
      </c>
    </row>
    <row r="54">
      <c r="A54" s="15" t="inlineStr">
        <is>
          <t xml:space="preserve">  • 1. Doors &amp; Windows / Openings — ~18%</t>
        </is>
      </c>
    </row>
    <row r="55">
      <c r="A55" s="15" t="inlineStr">
        <is>
          <t xml:space="preserve">  • 2. Appliances — ~11%</t>
        </is>
      </c>
    </row>
    <row r="56">
      <c r="A56" s="15" t="inlineStr">
        <is>
          <t xml:space="preserve">  • 3. HVAC Mini-Split — ~8%</t>
        </is>
      </c>
    </row>
    <row r="57">
      <c r="A57" s="15" t="inlineStr">
        <is>
          <t xml:space="preserve">  • 4. Electrical Rough-in — ~8%</t>
        </is>
      </c>
    </row>
    <row r="58">
      <c r="A58" s="15" t="inlineStr">
        <is>
          <t xml:space="preserve">  • 5. Furniture — ~7%</t>
        </is>
      </c>
    </row>
    <row r="59">
      <c r="A59" s="15" t="inlineStr">
        <is>
          <t xml:space="preserve">  • 6. Raised Floor — ~7%</t>
        </is>
      </c>
    </row>
    <row r="60">
      <c r="A60" s="15" t="inlineStr">
        <is>
          <t xml:space="preserve">  • 7. Kitchen Cabinets — ~7%</t>
        </is>
      </c>
    </row>
    <row r="61">
      <c r="A61" s="15" t="inlineStr">
        <is>
          <t xml:space="preserve">  • 8. Site / Exterior Utilities — ~6%</t>
        </is>
      </c>
    </row>
    <row r="63">
      <c r="A63" s="3" t="inlineStr">
        <is>
          <t>⚠️  High-Risk Verification Items (можуть змінити quantities)</t>
        </is>
      </c>
    </row>
    <row r="64">
      <c r="A64" s="15" t="inlineStr">
        <is>
          <t xml:space="preserve">  • Bathroom + laundry + utility fit (5'×7' може не вмістити все)</t>
        </is>
      </c>
    </row>
    <row r="65">
      <c r="A65" s="15" t="inlineStr">
        <is>
          <t xml:space="preserve">  • Existing garage door opening — closure framing + sheathing</t>
        </is>
      </c>
    </row>
    <row r="66">
      <c r="A66" s="15" t="inlineStr">
        <is>
          <t xml:space="preserve">  • Fire-rated drywall (5/8" Type X ceiling якщо req'd)</t>
        </is>
      </c>
    </row>
    <row r="67">
      <c r="A67" s="15" t="inlineStr">
        <is>
          <t xml:space="preserve">  • Electrical load calculation — affects subpanel + feeder + breakers</t>
        </is>
      </c>
    </row>
    <row r="68">
      <c r="A68" s="15" t="inlineStr">
        <is>
          <t xml:space="preserve">  • IKEA Kitchen Planner — exact cabinet layout перед order</t>
        </is>
      </c>
    </row>
    <row r="69">
      <c r="A69" s="15" t="inlineStr">
        <is>
          <t xml:space="preserve">  • Appliance specs — outlets, clearances, cabinet openings, cords</t>
        </is>
      </c>
    </row>
    <row r="70">
      <c r="A70" s="15" t="inlineStr">
        <is>
          <t xml:space="preserve">  • Sewer slope / trench route verification</t>
        </is>
      </c>
    </row>
    <row r="71">
      <c r="A71" s="15" t="inlineStr">
        <is>
          <t xml:space="preserve">  • Window / door exact sizes — field-verify</t>
        </is>
      </c>
    </row>
    <row r="72">
      <c r="A72" s="15" t="inlineStr">
        <is>
          <t xml:space="preserve">  • Water heater 30 gal — physical fit в utility closet</t>
        </is>
      </c>
    </row>
    <row r="73">
      <c r="A73" s="15" t="inlineStr">
        <is>
          <t xml:space="preserve">  • Special order lead times — affects planning, не materials total</t>
        </is>
      </c>
    </row>
    <row r="75">
      <c r="A75" s="3" t="inlineStr">
        <is>
          <t>❌  Out-of-scope (per ТЗ §32 — не включено в estimate)</t>
        </is>
      </c>
    </row>
    <row r="76">
      <c r="A76" s="16" t="inlineStr">
        <is>
          <t xml:space="preserve">  • Labor / installation pricing</t>
        </is>
      </c>
    </row>
    <row r="77">
      <c r="A77" s="16" t="inlineStr">
        <is>
          <t xml:space="preserve">  • CA sales tax (~9.375%) — see Reference Totals above</t>
        </is>
      </c>
    </row>
    <row r="78">
      <c r="A78" s="16" t="inlineStr">
        <is>
          <t xml:space="preserve">  • Delivery / shipping fees</t>
        </is>
      </c>
    </row>
    <row r="79">
      <c r="A79" s="16" t="inlineStr">
        <is>
          <t xml:space="preserve">  • Permit + plan check + inspection fees</t>
        </is>
      </c>
    </row>
    <row r="80">
      <c r="A80" s="16" t="inlineStr">
        <is>
          <t xml:space="preserve">  • Architectural / engineering fees</t>
        </is>
      </c>
    </row>
    <row r="81">
      <c r="A81" s="16" t="inlineStr">
        <is>
          <t xml:space="preserve">  • Title 24 documentation</t>
        </is>
      </c>
    </row>
    <row r="82">
      <c r="A82" s="16" t="inlineStr">
        <is>
          <t xml:space="preserve">  • Demolition labor</t>
        </is>
      </c>
    </row>
    <row r="83">
      <c r="A83" s="16" t="inlineStr">
        <is>
          <t xml:space="preserve">  • Trenching labor</t>
        </is>
      </c>
    </row>
    <row r="84">
      <c r="A84" s="16" t="inlineStr">
        <is>
          <t xml:space="preserve">  • Contractor markup</t>
        </is>
      </c>
    </row>
    <row r="85">
      <c r="A85" s="16" t="inlineStr">
        <is>
          <t xml:space="preserve">  • Contingency / buffer (~10-20%) — see Reference Totals above</t>
        </is>
      </c>
    </row>
    <row r="86">
      <c r="A86" s="16" t="inlineStr">
        <is>
          <t xml:space="preserve">  • Disposal / dumpster fees</t>
        </is>
      </c>
    </row>
    <row r="88">
      <c r="A88" s="3" t="inlineStr">
        <is>
          <t>✅  Included в Grand Total</t>
        </is>
      </c>
    </row>
    <row r="89">
      <c r="A89" s="17" t="inlineStr">
        <is>
          <t xml:space="preserve">  • Materials, fixtures, appliances, furniture (matters only)</t>
        </is>
      </c>
    </row>
    <row r="90">
      <c r="A90" s="17" t="inlineStr">
        <is>
          <t xml:space="preserve">  • IKEA packages (kitchen SEKTION, closet BOAXEL, furniture)</t>
        </is>
      </c>
    </row>
    <row r="91">
      <c r="A91" s="17" t="inlineStr">
        <is>
          <t xml:space="preserve">  • Home Depot construction materials (lumber, drywall, MEP, etc.)</t>
        </is>
      </c>
    </row>
    <row r="92">
      <c r="A92" s="17" t="inlineStr">
        <is>
          <t xml:space="preserve">  • Special-order item allowances (French door, folding system, mini-split, washer/dryer)</t>
        </is>
      </c>
    </row>
    <row r="93">
      <c r="A93" s="17" t="inlineStr">
        <is>
          <t xml:space="preserve">  • CA Code-required items (seismic strap, AFCI breakers, TR outlets, hardwired smoke/CO)</t>
        </is>
      </c>
    </row>
  </sheetData>
  <mergeCells count="61">
    <mergeCell ref="B47:C47"/>
    <mergeCell ref="A91:G91"/>
    <mergeCell ref="A53:G53"/>
    <mergeCell ref="B8:G8"/>
    <mergeCell ref="B46:C46"/>
    <mergeCell ref="A72:G72"/>
    <mergeCell ref="A81:G81"/>
    <mergeCell ref="A68:G68"/>
    <mergeCell ref="A63:G63"/>
    <mergeCell ref="B43:C43"/>
    <mergeCell ref="B11:G11"/>
    <mergeCell ref="A93:G93"/>
    <mergeCell ref="B10:G10"/>
    <mergeCell ref="B48:C48"/>
    <mergeCell ref="A40:G40"/>
    <mergeCell ref="A58:G58"/>
    <mergeCell ref="A67:G67"/>
    <mergeCell ref="A39:G39"/>
    <mergeCell ref="A77:G77"/>
    <mergeCell ref="B9:G9"/>
    <mergeCell ref="A83:G83"/>
    <mergeCell ref="A92:G92"/>
    <mergeCell ref="A15:G15"/>
    <mergeCell ref="A59:G59"/>
    <mergeCell ref="A64:G64"/>
    <mergeCell ref="A60:G60"/>
    <mergeCell ref="A73:G73"/>
    <mergeCell ref="A82:G82"/>
    <mergeCell ref="B6:G6"/>
    <mergeCell ref="B44:C44"/>
    <mergeCell ref="A61:G61"/>
    <mergeCell ref="A1:G1"/>
    <mergeCell ref="A88:G88"/>
    <mergeCell ref="A70:G70"/>
    <mergeCell ref="B5:G5"/>
    <mergeCell ref="A79:G79"/>
    <mergeCell ref="A69:G69"/>
    <mergeCell ref="A78:G78"/>
    <mergeCell ref="B4:G4"/>
    <mergeCell ref="A54:G54"/>
    <mergeCell ref="A65:G65"/>
    <mergeCell ref="A90:G90"/>
    <mergeCell ref="B49:C49"/>
    <mergeCell ref="B7:G7"/>
    <mergeCell ref="A75:G75"/>
    <mergeCell ref="B3:G3"/>
    <mergeCell ref="A84:G84"/>
    <mergeCell ref="A66:G66"/>
    <mergeCell ref="A89:G89"/>
    <mergeCell ref="A80:G80"/>
    <mergeCell ref="A56:G56"/>
    <mergeCell ref="A55:G55"/>
    <mergeCell ref="B45:C45"/>
    <mergeCell ref="A86:G86"/>
    <mergeCell ref="B12:G12"/>
    <mergeCell ref="B50:C50"/>
    <mergeCell ref="A57:G57"/>
    <mergeCell ref="A76:G76"/>
    <mergeCell ref="A71:G71"/>
    <mergeCell ref="A85:G85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1 — Site &amp; Exterior Utilities (§19)</t>
        </is>
      </c>
    </row>
    <row r="2" ht="18" customHeight="1">
      <c r="A2" s="3" t="inlineStr">
        <is>
          <t>Sewer 100ft + Water 100ft + Electric 50ft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Site / Trenching</t>
        </is>
      </c>
      <c r="C5" s="5" t="inlineStr">
        <is>
          <t>Sewer</t>
        </is>
      </c>
      <c r="D5" s="5" t="inlineStr">
        <is>
          <t>Sewer Pipe 4"</t>
        </is>
      </c>
      <c r="E5" s="5" t="inlineStr">
        <is>
          <t>SDR35 PVC, 10 ft pieces</t>
        </is>
      </c>
      <c r="F5" s="5" t="inlineStr">
        <is>
          <t>linear ft</t>
        </is>
      </c>
      <c r="G5" s="27" t="n">
        <v>100</v>
      </c>
      <c r="H5" s="27" t="n">
        <v>110</v>
      </c>
      <c r="I5" s="27" t="n">
        <v>120</v>
      </c>
      <c r="J5" s="22" t="n">
        <v>2.4</v>
      </c>
      <c r="K5" s="22">
        <f>IF(OR(H5="",J5="",J5=0),"",H5*J5)</f>
        <v/>
      </c>
      <c r="L5" s="5" t="inlineStr">
        <is>
          <t>Home Depot</t>
        </is>
      </c>
      <c r="M5" s="5" t="inlineStr">
        <is>
          <t>Charlotte / JM Eagle 4" SDR35</t>
        </is>
      </c>
      <c r="N5" s="5" t="inlineStr">
        <is>
          <t>https://www.homedepot.com/p/Charlotte-Pipe-4-in-x-10-ft-White-PVC-Sewer-Main-SDR35-Pipe-with-Gaskete-S-M-06004G-1400/203504420</t>
        </is>
      </c>
      <c r="O5" s="5" t="inlineStr">
        <is>
          <t>Confirmed</t>
        </is>
      </c>
      <c r="P5" s="5" t="inlineStr">
        <is>
          <t>high</t>
        </is>
      </c>
      <c r="Q5" s="5" t="inlineStr">
        <is>
          <t>100 ft підтверджено власником | $2.40/LF. Charlotte SDR35 10ft pieces ~$24 | Ціна збір: 2026-05-28</t>
        </is>
      </c>
    </row>
    <row r="6">
      <c r="A6" s="5" t="n">
        <v>2</v>
      </c>
      <c r="B6" s="5" t="inlineStr">
        <is>
          <t>Site / Trenching</t>
        </is>
      </c>
      <c r="C6" s="5" t="inlineStr">
        <is>
          <t>Sewer</t>
        </is>
      </c>
      <c r="D6" s="5" t="inlineStr">
        <is>
          <t>Sewer Couplings 4"</t>
        </is>
      </c>
      <c r="E6" s="5" t="inlineStr">
        <is>
          <t>Hub couplings</t>
        </is>
      </c>
      <c r="F6" s="5" t="inlineStr">
        <is>
          <t>pcs</t>
        </is>
      </c>
      <c r="G6" s="27" t="n">
        <v>4</v>
      </c>
      <c r="H6" s="27" t="n">
        <v>6</v>
      </c>
      <c r="I6" s="27" t="n">
        <v>8</v>
      </c>
      <c r="J6" s="22" t="n">
        <v>5.5</v>
      </c>
      <c r="K6" s="22">
        <f>IF(OR(H6="",J6="",J6=0),"",H6*J6)</f>
        <v/>
      </c>
      <c r="L6" s="5" t="inlineStr">
        <is>
          <t>Home Depot</t>
        </is>
      </c>
      <c r="M6" s="5" t="inlineStr">
        <is>
          <t>Generic SDR35 4"</t>
        </is>
      </c>
      <c r="N6" s="5" t="inlineStr"/>
      <c r="O6" s="5" t="inlineStr">
        <is>
          <t>Confirmed</t>
        </is>
      </c>
      <c r="P6" s="5" t="inlineStr">
        <is>
          <t>medium</t>
        </is>
      </c>
      <c r="Q6" s="5" t="inlineStr">
        <is>
          <t>Hub couplings | Ціна збір: 2026-05-28</t>
        </is>
      </c>
    </row>
    <row r="7">
      <c r="A7" s="5" t="n">
        <v>3</v>
      </c>
      <c r="B7" s="5" t="inlineStr">
        <is>
          <t>Site / Trenching</t>
        </is>
      </c>
      <c r="C7" s="5" t="inlineStr">
        <is>
          <t>Sewer</t>
        </is>
      </c>
      <c r="D7" s="5" t="inlineStr">
        <is>
          <t>Sewer Elbows 45°/90°</t>
        </is>
      </c>
      <c r="E7" s="5" t="inlineStr">
        <is>
          <t>ABS/PVC short radius</t>
        </is>
      </c>
      <c r="F7" s="5" t="inlineStr">
        <is>
          <t>pcs</t>
        </is>
      </c>
      <c r="G7" s="27" t="n">
        <v>4</v>
      </c>
      <c r="H7" s="27" t="n">
        <v>6</v>
      </c>
      <c r="I7" s="27" t="n">
        <v>8</v>
      </c>
      <c r="J7" s="22" t="n">
        <v>7.5</v>
      </c>
      <c r="K7" s="22">
        <f>IF(OR(H7="",J7="",J7=0),"",H7*J7)</f>
        <v/>
      </c>
      <c r="L7" s="5" t="inlineStr">
        <is>
          <t>Home Depot</t>
        </is>
      </c>
      <c r="M7" s="5" t="inlineStr">
        <is>
          <t>Generic SDR35 4"</t>
        </is>
      </c>
      <c r="N7" s="5" t="inlineStr"/>
      <c r="O7" s="5" t="inlineStr">
        <is>
          <t>Confirmed</t>
        </is>
      </c>
      <c r="P7" s="5" t="inlineStr">
        <is>
          <t>medium</t>
        </is>
      </c>
      <c r="Q7" s="5" t="inlineStr">
        <is>
          <t>45° + 90° short radius mix | Ціна збір: 2026-05-28</t>
        </is>
      </c>
    </row>
    <row r="8">
      <c r="A8" s="5" t="n">
        <v>4</v>
      </c>
      <c r="B8" s="5" t="inlineStr">
        <is>
          <t>Site / Trenching</t>
        </is>
      </c>
      <c r="C8" s="5" t="inlineStr">
        <is>
          <t>Sewer</t>
        </is>
      </c>
      <c r="D8" s="5" t="inlineStr">
        <is>
          <t>Long-radius Sweep 4"</t>
        </is>
      </c>
      <c r="E8" s="5" t="inlineStr">
        <is>
          <t>Для slope (рекомендовано)</t>
        </is>
      </c>
      <c r="F8" s="5" t="inlineStr">
        <is>
          <t>pcs</t>
        </is>
      </c>
      <c r="G8" s="27" t="n">
        <v>2</v>
      </c>
      <c r="H8" s="27" t="n">
        <v>3</v>
      </c>
      <c r="I8" s="27" t="n">
        <v>4</v>
      </c>
      <c r="J8" s="22" t="n">
        <v>15</v>
      </c>
      <c r="K8" s="22">
        <f>IF(OR(H8="",J8="",J8=0),"",H8*J8)</f>
        <v/>
      </c>
      <c r="L8" s="5" t="inlineStr">
        <is>
          <t>Home Depot</t>
        </is>
      </c>
      <c r="M8" s="5" t="inlineStr">
        <is>
          <t>Generic SDR35 4"</t>
        </is>
      </c>
      <c r="N8" s="5" t="inlineStr"/>
      <c r="O8" s="5" t="inlineStr">
        <is>
          <t>TBD</t>
        </is>
      </c>
      <c r="P8" s="5" t="inlineStr">
        <is>
          <t>medium</t>
        </is>
      </c>
      <c r="Q8" s="5" t="inlineStr">
        <is>
          <t>Slope to be verified by plumber / local code | Long-radius sweep — slope verify by plumber | Ціна збір: 2026-05-28</t>
        </is>
      </c>
    </row>
    <row r="9">
      <c r="A9" s="5" t="n">
        <v>5</v>
      </c>
      <c r="B9" s="5" t="inlineStr">
        <is>
          <t>Site / Trenching</t>
        </is>
      </c>
      <c r="C9" s="5" t="inlineStr">
        <is>
          <t>Sewer</t>
        </is>
      </c>
      <c r="D9" s="5" t="inlineStr">
        <is>
          <t>Wye Fittings 4"</t>
        </is>
      </c>
      <c r="E9" s="5" t="inlineStr">
        <is>
          <t>Branch tie-ins</t>
        </is>
      </c>
      <c r="F9" s="5" t="inlineStr">
        <is>
          <t>pcs</t>
        </is>
      </c>
      <c r="G9" s="27" t="n">
        <v>2</v>
      </c>
      <c r="H9" s="27" t="n">
        <v>3</v>
      </c>
      <c r="I9" s="27" t="n">
        <v>4</v>
      </c>
      <c r="J9" s="22" t="n">
        <v>15</v>
      </c>
      <c r="K9" s="22">
        <f>IF(OR(H9="",J9="",J9=0),"",H9*J9)</f>
        <v/>
      </c>
      <c r="L9" s="5" t="inlineStr">
        <is>
          <t>Home Depot</t>
        </is>
      </c>
      <c r="M9" s="5" t="inlineStr">
        <is>
          <t>Generic SDR35 4"</t>
        </is>
      </c>
      <c r="N9" s="5" t="inlineStr"/>
      <c r="O9" s="5" t="inlineStr">
        <is>
          <t>Confirmed</t>
        </is>
      </c>
      <c r="P9" s="5" t="inlineStr">
        <is>
          <t>medium</t>
        </is>
      </c>
      <c r="Q9" s="5" t="inlineStr">
        <is>
          <t>Wye 4×4×4 | Ціна збір: 2026-05-28</t>
        </is>
      </c>
    </row>
    <row r="10">
      <c r="A10" s="5" t="n">
        <v>6</v>
      </c>
      <c r="B10" s="5" t="inlineStr">
        <is>
          <t>Site / Trenching</t>
        </is>
      </c>
      <c r="C10" s="5" t="inlineStr">
        <is>
          <t>Sewer</t>
        </is>
      </c>
      <c r="D10" s="5" t="inlineStr">
        <is>
          <t>Sewer Cleanouts 4"</t>
        </is>
      </c>
      <c r="E10" s="5" t="inlineStr">
        <is>
          <t>Body + plug + collar</t>
        </is>
      </c>
      <c r="F10" s="5" t="inlineStr">
        <is>
          <t>pcs</t>
        </is>
      </c>
      <c r="G10" s="27" t="n">
        <v>2</v>
      </c>
      <c r="H10" s="27" t="n">
        <v>3</v>
      </c>
      <c r="I10" s="27" t="n">
        <v>4</v>
      </c>
      <c r="J10" s="22" t="n">
        <v>28</v>
      </c>
      <c r="K10" s="22">
        <f>IF(OR(H10="",J10="",J10=0),"",H10*J10)</f>
        <v/>
      </c>
      <c r="L10" s="5" t="inlineStr">
        <is>
          <t>Home Depot</t>
        </is>
      </c>
      <c r="M10" s="5" t="inlineStr">
        <is>
          <t>Generic 4" cleanout</t>
        </is>
      </c>
      <c r="N10" s="5" t="inlineStr"/>
      <c r="O10" s="5" t="inlineStr">
        <is>
          <t>Confirmed</t>
        </is>
      </c>
      <c r="P10" s="5" t="inlineStr">
        <is>
          <t>medium</t>
        </is>
      </c>
      <c r="Q10" s="5" t="inlineStr">
        <is>
          <t>Depends on route and bends — підвищено Mid до 3 | Body + plug + collar. Mid підвищено до 3 | Ціна збір: 2026-05-28</t>
        </is>
      </c>
    </row>
    <row r="11">
      <c r="A11" s="5" t="n">
        <v>7</v>
      </c>
      <c r="B11" s="5" t="inlineStr">
        <is>
          <t>Site / Trenching</t>
        </is>
      </c>
      <c r="C11" s="5" t="inlineStr">
        <is>
          <t>Sewer</t>
        </is>
      </c>
      <c r="D11" s="5" t="inlineStr">
        <is>
          <t>Primer / Cement ABS-PVC</t>
        </is>
      </c>
      <c r="E11" s="5" t="inlineStr">
        <is>
          <t>Solvent weld</t>
        </is>
      </c>
      <c r="F11" s="5" t="inlineStr">
        <is>
          <t>cans</t>
        </is>
      </c>
      <c r="G11" s="27" t="n">
        <v>2</v>
      </c>
      <c r="H11" s="27" t="n">
        <v>3</v>
      </c>
      <c r="I11" s="27" t="n">
        <v>4</v>
      </c>
      <c r="J11" s="22" t="n">
        <v>12</v>
      </c>
      <c r="K11" s="22">
        <f>IF(OR(H11="",J11="",J11=0),"",H11*J11)</f>
        <v/>
      </c>
      <c r="L11" s="5" t="inlineStr">
        <is>
          <t>Home Depot</t>
        </is>
      </c>
      <c r="M11" s="5" t="inlineStr">
        <is>
          <t>Oatey / Christy's</t>
        </is>
      </c>
      <c r="N11" s="5" t="inlineStr"/>
      <c r="O11" s="5" t="inlineStr">
        <is>
          <t>Confirmed</t>
        </is>
      </c>
      <c r="P11" s="5" t="inlineStr">
        <is>
          <t>medium</t>
        </is>
      </c>
      <c r="Q11" s="5" t="inlineStr">
        <is>
          <t>Primer+cement combo | Ціна збір: 2026-05-28</t>
        </is>
      </c>
    </row>
    <row r="12">
      <c r="A12" s="5" t="n">
        <v>8</v>
      </c>
      <c r="B12" s="5" t="inlineStr">
        <is>
          <t>Site / Trenching</t>
        </is>
      </c>
      <c r="C12" s="5" t="inlineStr">
        <is>
          <t>Sewer</t>
        </is>
      </c>
      <c r="D12" s="5" t="inlineStr">
        <is>
          <t>Sand Bedding (3" under pipe)</t>
        </is>
      </c>
      <c r="E12" s="5" t="inlineStr">
        <is>
          <t>Cushion under pipe</t>
        </is>
      </c>
      <c r="F12" s="5" t="inlineStr">
        <is>
          <t>cu yd</t>
        </is>
      </c>
      <c r="G12" s="27" t="n">
        <v>1</v>
      </c>
      <c r="H12" s="27" t="n">
        <v>2</v>
      </c>
      <c r="I12" s="27" t="n">
        <v>3</v>
      </c>
      <c r="J12" s="22" t="n">
        <v>35</v>
      </c>
      <c r="K12" s="22">
        <f>IF(OR(H12="",J12="",J12=0),"",H12*J12)</f>
        <v/>
      </c>
      <c r="L12" s="5" t="inlineStr">
        <is>
          <t>Aggregate yard</t>
        </is>
      </c>
      <c r="M12" s="5" t="inlineStr">
        <is>
          <t>Aggregate yard</t>
        </is>
      </c>
      <c r="N12" s="5" t="inlineStr"/>
      <c r="O12" s="5" t="inlineStr">
        <is>
          <t>Confirmed</t>
        </is>
      </c>
      <c r="P12" s="5" t="inlineStr">
        <is>
          <t>medium</t>
        </is>
      </c>
      <c r="Q12" s="5" t="inlineStr">
        <is>
          <t>Recommended — verify if required by local code / utility | Sand bedding — verify if required | Ціна збір: 2026-05-28</t>
        </is>
      </c>
    </row>
    <row r="13">
      <c r="A13" s="5" t="n">
        <v>9</v>
      </c>
      <c r="B13" s="5" t="inlineStr">
        <is>
          <t>Site / Trenching</t>
        </is>
      </c>
      <c r="C13" s="5" t="inlineStr">
        <is>
          <t>Sewer</t>
        </is>
      </c>
      <c r="D13" s="5" t="inlineStr">
        <is>
          <t>Gravel / Bedding (above pipe)</t>
        </is>
      </c>
      <c r="E13" s="5" t="inlineStr">
        <is>
          <t>3/4" rock</t>
        </is>
      </c>
      <c r="F13" s="5" t="inlineStr">
        <is>
          <t>cu yd</t>
        </is>
      </c>
      <c r="G13" s="27" t="n">
        <v>1</v>
      </c>
      <c r="H13" s="27" t="n">
        <v>2</v>
      </c>
      <c r="I13" s="27" t="n">
        <v>3</v>
      </c>
      <c r="J13" s="22" t="n">
        <v>45</v>
      </c>
      <c r="K13" s="22">
        <f>IF(OR(H13="",J13="",J13=0),"",H13*J13)</f>
        <v/>
      </c>
      <c r="L13" s="5" t="inlineStr">
        <is>
          <t>Aggregate yard</t>
        </is>
      </c>
      <c r="M13" s="5" t="inlineStr">
        <is>
          <t>Aggregate yard</t>
        </is>
      </c>
      <c r="N13" s="5" t="inlineStr"/>
      <c r="O13" s="5" t="inlineStr">
        <is>
          <t>TBD</t>
        </is>
      </c>
      <c r="P13" s="5" t="inlineStr">
        <is>
          <t>medium</t>
        </is>
      </c>
      <c r="Q13" s="5" t="inlineStr">
        <is>
          <t>3/4" rock backfill | Ціна збір: 2026-05-28</t>
        </is>
      </c>
    </row>
    <row r="14">
      <c r="A14" s="5" t="n">
        <v>10</v>
      </c>
      <c r="B14" s="5" t="inlineStr">
        <is>
          <t>Site / Trenching</t>
        </is>
      </c>
      <c r="C14" s="5" t="inlineStr">
        <is>
          <t>Sewer</t>
        </is>
      </c>
      <c r="D14" s="5" t="inlineStr">
        <is>
          <t>Tracer Wire 14 AWG</t>
        </is>
      </c>
      <c r="E14" s="5" t="inlineStr">
        <is>
          <t>Locator wire для non-metallic</t>
        </is>
      </c>
      <c r="F14" s="5" t="inlineStr">
        <is>
          <t>linear ft</t>
        </is>
      </c>
      <c r="G14" s="27" t="n">
        <v>100</v>
      </c>
      <c r="H14" s="27" t="n">
        <v>110</v>
      </c>
      <c r="I14" s="27" t="n">
        <v>120</v>
      </c>
      <c r="J14" s="22" t="n">
        <v>0.15</v>
      </c>
      <c r="K14" s="22">
        <f>IF(OR(H14="",J14="",J14=0),"",H14*J14)</f>
        <v/>
      </c>
      <c r="L14" s="5" t="inlineStr">
        <is>
          <t>Home Depot</t>
        </is>
      </c>
      <c r="M14" s="5" t="inlineStr">
        <is>
          <t>Generic 14 AWG tracer</t>
        </is>
      </c>
      <c r="N14" s="5" t="inlineStr"/>
      <c r="O14" s="5" t="inlineStr">
        <is>
          <t>Confirmed</t>
        </is>
      </c>
      <c r="P14" s="5" t="inlineStr">
        <is>
          <t>medium</t>
        </is>
      </c>
      <c r="Q14" s="5" t="inlineStr">
        <is>
          <t>Recommended — verify if required by local code | Tracer wire — verify if required by code | Ціна збір: 2026-05-28</t>
        </is>
      </c>
    </row>
    <row r="15">
      <c r="A15" s="5" t="n">
        <v>11</v>
      </c>
      <c r="B15" s="5" t="inlineStr">
        <is>
          <t>Site / Trenching</t>
        </is>
      </c>
      <c r="C15" s="5" t="inlineStr">
        <is>
          <t>Sewer</t>
        </is>
      </c>
      <c r="D15" s="5" t="inlineStr">
        <is>
          <t>Warning Tape Detectable</t>
        </is>
      </c>
      <c r="E15" s="5" t="inlineStr">
        <is>
          <t>'CAUTION SEWER'</t>
        </is>
      </c>
      <c r="F15" s="5" t="inlineStr">
        <is>
          <t>rolls</t>
        </is>
      </c>
      <c r="G15" s="27" t="n">
        <v>1</v>
      </c>
      <c r="H15" s="27" t="n">
        <v>1</v>
      </c>
      <c r="I15" s="27" t="n">
        <v>1</v>
      </c>
      <c r="J15" s="22" t="n">
        <v>15</v>
      </c>
      <c r="K15" s="22">
        <f>IF(OR(H15="",J15="",J15=0),"",H15*J15)</f>
        <v/>
      </c>
      <c r="L15" s="5" t="inlineStr">
        <is>
          <t>Home Depot</t>
        </is>
      </c>
      <c r="M15" s="5" t="inlineStr">
        <is>
          <t>Generic detectable</t>
        </is>
      </c>
      <c r="N15" s="5" t="inlineStr"/>
      <c r="O15" s="5" t="inlineStr">
        <is>
          <t>Confirmed</t>
        </is>
      </c>
      <c r="P15" s="5" t="inlineStr">
        <is>
          <t>medium</t>
        </is>
      </c>
      <c r="Q15" s="5" t="inlineStr">
        <is>
          <t>'CAUTION SEWER' | Ціна збір: 2026-05-28</t>
        </is>
      </c>
    </row>
    <row r="16">
      <c r="A16" s="5" t="n">
        <v>12</v>
      </c>
      <c r="B16" s="5" t="inlineStr">
        <is>
          <t>Site / Trenching</t>
        </is>
      </c>
      <c r="C16" s="5" t="inlineStr">
        <is>
          <t>Sewer</t>
        </is>
      </c>
      <c r="D16" s="5" t="inlineStr">
        <is>
          <t>Wall / Foundation Sleeve 4"</t>
        </is>
      </c>
      <c r="E16" s="5" t="inlineStr">
        <is>
          <t>Slab penetration</t>
        </is>
      </c>
      <c r="F16" s="5" t="inlineStr">
        <is>
          <t>pcs</t>
        </is>
      </c>
      <c r="G16" s="27" t="n">
        <v>1</v>
      </c>
      <c r="H16" s="27" t="n">
        <v>1</v>
      </c>
      <c r="I16" s="27" t="n">
        <v>1</v>
      </c>
      <c r="J16" s="22" t="n">
        <v>25</v>
      </c>
      <c r="K16" s="22">
        <f>IF(OR(H16="",J16="",J16=0),"",H16*J16)</f>
        <v/>
      </c>
      <c r="L16" s="5" t="inlineStr">
        <is>
          <t>Home Depot</t>
        </is>
      </c>
      <c r="M16" s="5" t="inlineStr">
        <is>
          <t>4" PVC sleeve</t>
        </is>
      </c>
      <c r="N16" s="5" t="inlineStr"/>
      <c r="O16" s="5" t="inlineStr">
        <is>
          <t>TBD</t>
        </is>
      </c>
      <c r="P16" s="5" t="inlineStr">
        <is>
          <t>low</t>
        </is>
      </c>
      <c r="Q16" s="5" t="inlineStr">
        <is>
          <t>Slab penetration | Ціна збір: 2026-05-28</t>
        </is>
      </c>
    </row>
    <row r="17">
      <c r="A17" s="5" t="n">
        <v>13</v>
      </c>
      <c r="B17" s="5" t="inlineStr">
        <is>
          <t>Site / Trenching</t>
        </is>
      </c>
      <c r="C17" s="5" t="inlineStr">
        <is>
          <t>Sewer</t>
        </is>
      </c>
      <c r="D17" s="5" t="inlineStr">
        <is>
          <t>Concrete Patch Material</t>
        </is>
      </c>
      <c r="E17" s="5" t="inlineStr">
        <is>
          <t>50 lb bag</t>
        </is>
      </c>
      <c r="F17" s="5" t="inlineStr">
        <is>
          <t>bags</t>
        </is>
      </c>
      <c r="G17" s="27" t="n">
        <v>1</v>
      </c>
      <c r="H17" s="27" t="n">
        <v>2</v>
      </c>
      <c r="I17" s="27" t="n">
        <v>3</v>
      </c>
      <c r="J17" s="22" t="n">
        <v>9</v>
      </c>
      <c r="K17" s="22">
        <f>IF(OR(H17="",J17="",J17=0),"",H17*J17)</f>
        <v/>
      </c>
      <c r="L17" s="5" t="inlineStr">
        <is>
          <t>Home Depot</t>
        </is>
      </c>
      <c r="M17" s="5" t="inlineStr">
        <is>
          <t>Quikrete / Sakrete</t>
        </is>
      </c>
      <c r="N17" s="5" t="inlineStr"/>
      <c r="O17" s="5" t="inlineStr">
        <is>
          <t>TBD</t>
        </is>
      </c>
      <c r="P17" s="5" t="inlineStr">
        <is>
          <t>medium</t>
        </is>
      </c>
      <c r="Q17" s="5" t="inlineStr">
        <is>
          <t>50 lb bag | Ціна збір: 2026-05-28</t>
        </is>
      </c>
    </row>
    <row r="18">
      <c r="A18" s="5" t="n">
        <v>14</v>
      </c>
      <c r="B18" s="5" t="inlineStr">
        <is>
          <t>Site / Trenching</t>
        </is>
      </c>
      <c r="C18" s="5" t="inlineStr">
        <is>
          <t>Sewer</t>
        </is>
      </c>
      <c r="D18" s="5" t="inlineStr">
        <is>
          <t>Test Caps / Cleanout Plugs allowance</t>
        </is>
      </c>
      <c r="E18" s="5" t="inlineStr">
        <is>
          <t>Для rough-in / pressure testing</t>
        </is>
      </c>
      <c r="F18" s="5" t="inlineStr">
        <is>
          <t>set</t>
        </is>
      </c>
      <c r="G18" s="27" t="n">
        <v>1</v>
      </c>
      <c r="H18" s="27" t="n">
        <v>1</v>
      </c>
      <c r="I18" s="27" t="n">
        <v>2</v>
      </c>
      <c r="J18" s="22" t="n">
        <v>25</v>
      </c>
      <c r="K18" s="22">
        <f>IF(OR(H18="",J18="",J18=0),"",H18*J18)</f>
        <v/>
      </c>
      <c r="L18" s="5" t="inlineStr">
        <is>
          <t>Home Depot</t>
        </is>
      </c>
      <c r="M18" s="5" t="inlineStr">
        <is>
          <t>Generic 4" caps allowance</t>
        </is>
      </c>
      <c r="N18" s="5" t="inlineStr"/>
      <c r="O18" s="5" t="inlineStr">
        <is>
          <t>Confirmed</t>
        </is>
      </c>
      <c r="P18" s="5" t="inlineStr">
        <is>
          <t>medium</t>
        </is>
      </c>
      <c r="Q18" s="5" t="inlineStr">
        <is>
          <t>ДОДАНО (review): для тестування pipe ends | ДОДАНО: test caps/plugs для pipe ends | Ціна збір: 2026-05-28</t>
        </is>
      </c>
    </row>
    <row r="19">
      <c r="A19" s="5" t="n">
        <v>15</v>
      </c>
      <c r="B19" s="5" t="inlineStr">
        <is>
          <t>Site / Trenching</t>
        </is>
      </c>
      <c r="C19" s="5" t="inlineStr">
        <is>
          <t>Water Supply</t>
        </is>
      </c>
      <c r="D19" s="5" t="inlineStr">
        <is>
          <t>Main Water Supply Pipe</t>
        </is>
      </c>
      <c r="E19" s="5" t="inlineStr">
        <is>
          <t>PEX-A 1" coil</t>
        </is>
      </c>
      <c r="F19" s="5" t="inlineStr">
        <is>
          <t>linear ft</t>
        </is>
      </c>
      <c r="G19" s="27" t="n">
        <v>100</v>
      </c>
      <c r="H19" s="27" t="n">
        <v>110</v>
      </c>
      <c r="I19" s="27" t="n">
        <v>120</v>
      </c>
      <c r="J19" s="22" t="n">
        <v>1.45</v>
      </c>
      <c r="K19" s="22">
        <f>IF(OR(H19="",J19="",J19=0),"",H19*J19)</f>
        <v/>
      </c>
      <c r="L19" s="5" t="inlineStr">
        <is>
          <t>Home Depot</t>
        </is>
      </c>
      <c r="M19" s="5" t="inlineStr">
        <is>
          <t>SharkBite UA80W100 PEX-A 1"</t>
        </is>
      </c>
      <c r="N19" s="5" t="inlineStr">
        <is>
          <t>https://www.homedepot.com/p/SharkBite-1-in-x-100-ft-Coil-White-PEX-A-Pipe-UA80W100/316358329</t>
        </is>
      </c>
      <c r="O19" s="5" t="inlineStr">
        <is>
          <t>Confirmed</t>
        </is>
      </c>
      <c r="P19" s="5" t="inlineStr">
        <is>
          <t>high</t>
        </is>
      </c>
      <c r="Q19" s="5" t="inlineStr">
        <is>
          <t>100 ft підтверджено | $1.45/LF ($145 per 100ft coil). Alt: copper L $4-5/LF | Ціна збір: 2026-05-28</t>
        </is>
      </c>
    </row>
    <row r="20">
      <c r="A20" s="5" t="n">
        <v>16</v>
      </c>
      <c r="B20" s="5" t="inlineStr">
        <is>
          <t>Site / Trenching</t>
        </is>
      </c>
      <c r="C20" s="5" t="inlineStr">
        <is>
          <t>Water Supply</t>
        </is>
      </c>
      <c r="D20" s="5" t="inlineStr">
        <is>
          <t>PEX-A UV Protective Sleeve</t>
        </is>
      </c>
      <c r="E20" s="5" t="inlineStr">
        <is>
          <t>HDPE для buried PEX</t>
        </is>
      </c>
      <c r="F20" s="5" t="inlineStr">
        <is>
          <t>linear ft</t>
        </is>
      </c>
      <c r="G20" s="27" t="n">
        <v>100</v>
      </c>
      <c r="H20" s="27" t="n">
        <v>110</v>
      </c>
      <c r="I20" s="27" t="n">
        <v>120</v>
      </c>
      <c r="J20" s="22" t="n">
        <v>1</v>
      </c>
      <c r="K20" s="22">
        <f>IF(OR(H20="",J20="",J20=0),"",H20*J20)</f>
        <v/>
      </c>
      <c r="L20" s="5" t="inlineStr">
        <is>
          <t>Home Depot / specialty</t>
        </is>
      </c>
      <c r="M20" s="5" t="inlineStr">
        <is>
          <t>HDPE protective sleeve</t>
        </is>
      </c>
      <c r="N20" s="5" t="inlineStr"/>
      <c r="O20" s="5" t="inlineStr">
        <is>
          <t>Confirmed</t>
        </is>
      </c>
      <c r="P20" s="5" t="inlineStr">
        <is>
          <t>medium</t>
        </is>
      </c>
      <c r="Q20" s="5" t="inlineStr">
        <is>
          <t>PEX-A degrades on UV — required для buried sections | PEX-A UV protection for buried | Ціна збір: 2026-05-28</t>
        </is>
      </c>
    </row>
    <row r="21">
      <c r="A21" s="5" t="n">
        <v>17</v>
      </c>
      <c r="B21" s="5" t="inlineStr">
        <is>
          <t>Site / Trenching</t>
        </is>
      </c>
      <c r="C21" s="5" t="inlineStr">
        <is>
          <t>Water Supply</t>
        </is>
      </c>
      <c r="D21" s="5" t="inlineStr">
        <is>
          <t>Main Shut-off Valve (ADU) 1"</t>
        </is>
      </c>
      <c r="E21" s="5" t="inlineStr">
        <is>
          <t>Brass ball, full port</t>
        </is>
      </c>
      <c r="F21" s="5" t="inlineStr">
        <is>
          <t>pcs</t>
        </is>
      </c>
      <c r="G21" s="27" t="n">
        <v>1</v>
      </c>
      <c r="H21" s="27" t="n">
        <v>1</v>
      </c>
      <c r="I21" s="27" t="n">
        <v>1</v>
      </c>
      <c r="J21" s="22" t="n">
        <v>30</v>
      </c>
      <c r="K21" s="22">
        <f>IF(OR(H21="",J21="",J21=0),"",H21*J21)</f>
        <v/>
      </c>
      <c r="L21" s="5" t="inlineStr">
        <is>
          <t>Home Depot</t>
        </is>
      </c>
      <c r="M21" s="5" t="inlineStr">
        <is>
          <t>Brass ball valve 1"</t>
        </is>
      </c>
      <c r="N21" s="5" t="inlineStr"/>
      <c r="O21" s="5" t="inlineStr">
        <is>
          <t>Confirmed</t>
        </is>
      </c>
      <c r="P21" s="5" t="inlineStr">
        <is>
          <t>medium</t>
        </is>
      </c>
      <c r="Q21" s="5" t="inlineStr">
        <is>
          <t>Full port, lead-free | Ціна збір: 2026-05-28</t>
        </is>
      </c>
    </row>
    <row r="22">
      <c r="A22" s="5" t="n">
        <v>18</v>
      </c>
      <c r="B22" s="5" t="inlineStr">
        <is>
          <t>Site / Trenching</t>
        </is>
      </c>
      <c r="C22" s="5" t="inlineStr">
        <is>
          <t>Water Supply</t>
        </is>
      </c>
      <c r="D22" s="5" t="inlineStr">
        <is>
          <t>Brass Union Connector</t>
        </is>
      </c>
      <c r="E22" s="5" t="inlineStr">
        <is>
          <t>Tap point + ADU connection</t>
        </is>
      </c>
      <c r="F22" s="5" t="inlineStr">
        <is>
          <t>pcs</t>
        </is>
      </c>
      <c r="G22" s="27" t="n">
        <v>1</v>
      </c>
      <c r="H22" s="27" t="n">
        <v>2</v>
      </c>
      <c r="I22" s="27" t="n">
        <v>2</v>
      </c>
      <c r="J22" s="22" t="n">
        <v>20</v>
      </c>
      <c r="K22" s="22">
        <f>IF(OR(H22="",J22="",J22=0),"",H22*J22)</f>
        <v/>
      </c>
      <c r="L22" s="5" t="inlineStr">
        <is>
          <t>Home Depot</t>
        </is>
      </c>
      <c r="M22" s="5" t="inlineStr">
        <is>
          <t>Brass union 1"</t>
        </is>
      </c>
      <c r="N22" s="5" t="inlineStr"/>
      <c r="O22" s="5" t="inlineStr">
        <is>
          <t>Confirmed</t>
        </is>
      </c>
      <c r="P22" s="5" t="inlineStr">
        <is>
          <t>medium</t>
        </is>
      </c>
      <c r="Q22" s="5" t="inlineStr">
        <is>
          <t>Tap point + ADU connection | Ціна збір: 2026-05-28</t>
        </is>
      </c>
    </row>
    <row r="23">
      <c r="A23" s="5" t="n">
        <v>19</v>
      </c>
      <c r="B23" s="5" t="inlineStr">
        <is>
          <t>Site / Trenching</t>
        </is>
      </c>
      <c r="C23" s="5" t="inlineStr">
        <is>
          <t>Water Supply</t>
        </is>
      </c>
      <c r="D23" s="5" t="inlineStr">
        <is>
          <t>Water Meter (separate)</t>
        </is>
      </c>
      <c r="E23" s="5" t="inlineStr">
        <is>
          <t>Якщо ADU має окремий meter</t>
        </is>
      </c>
      <c r="F23" s="5" t="inlineStr">
        <is>
          <t>pcs</t>
        </is>
      </c>
      <c r="G23" s="27" t="n">
        <v>0</v>
      </c>
      <c r="H23" s="27" t="n">
        <v>0</v>
      </c>
      <c r="I23" s="27" t="n">
        <v>1</v>
      </c>
      <c r="J23" s="22" t="n">
        <v>250</v>
      </c>
      <c r="K23" s="22">
        <f>IF(OR(H23="",J23="",J23=0),"",H23*J23)</f>
        <v/>
      </c>
      <c r="L23" s="5" t="inlineStr">
        <is>
          <t>Special Order / utility</t>
        </is>
      </c>
      <c r="M23" s="5" t="inlineStr">
        <is>
          <t>Badger / Neptune meter</t>
        </is>
      </c>
      <c r="N23" s="5" t="inlineStr"/>
      <c r="O23" s="5" t="inlineStr">
        <is>
          <t>Optional</t>
        </is>
      </c>
      <c r="P23" s="5" t="inlineStr">
        <is>
          <t>low</t>
        </is>
      </c>
      <c r="Q23" s="5" t="inlineStr">
        <is>
          <t>OPTIONAL — verify with utility / town. Не входить в baseline total | OPTIONAL — verify з utility / town | Ціна збір: 2026-05-28</t>
        </is>
      </c>
    </row>
    <row r="24">
      <c r="A24" s="5" t="n">
        <v>20</v>
      </c>
      <c r="B24" s="5" t="inlineStr">
        <is>
          <t>Site / Trenching</t>
        </is>
      </c>
      <c r="C24" s="5" t="inlineStr">
        <is>
          <t>Water Supply</t>
        </is>
      </c>
      <c r="D24" s="5" t="inlineStr">
        <is>
          <t>Water Fittings / Couplings</t>
        </is>
      </c>
      <c r="E24" s="5" t="inlineStr">
        <is>
          <t>PEX brass crimp pack</t>
        </is>
      </c>
      <c r="F24" s="5" t="inlineStr">
        <is>
          <t>pack</t>
        </is>
      </c>
      <c r="G24" s="27" t="n">
        <v>1</v>
      </c>
      <c r="H24" s="27" t="n">
        <v>2</v>
      </c>
      <c r="I24" s="27" t="n">
        <v>3</v>
      </c>
      <c r="J24" s="22" t="n">
        <v>35</v>
      </c>
      <c r="K24" s="22">
        <f>IF(OR(H24="",J24="",J24=0),"",H24*J24)</f>
        <v/>
      </c>
      <c r="L24" s="5" t="inlineStr">
        <is>
          <t>Home Depot</t>
        </is>
      </c>
      <c r="M24" s="5" t="inlineStr">
        <is>
          <t>PEX brass crimp pack</t>
        </is>
      </c>
      <c r="N24" s="5" t="inlineStr"/>
      <c r="O24" s="5" t="inlineStr">
        <is>
          <t>Confirmed</t>
        </is>
      </c>
      <c r="P24" s="5" t="inlineStr">
        <is>
          <t>medium</t>
        </is>
      </c>
      <c r="Q24" s="5" t="inlineStr">
        <is>
          <t>Fittings assortment | Ціна збір: 2026-05-28</t>
        </is>
      </c>
    </row>
    <row r="25">
      <c r="A25" s="5" t="n">
        <v>21</v>
      </c>
      <c r="B25" s="5" t="inlineStr">
        <is>
          <t>Site / Trenching</t>
        </is>
      </c>
      <c r="C25" s="5" t="inlineStr">
        <is>
          <t>Water Supply</t>
        </is>
      </c>
      <c r="D25" s="5" t="inlineStr">
        <is>
          <t>Pipe Sleeves</t>
        </is>
      </c>
      <c r="E25" s="5" t="inlineStr">
        <is>
          <t>Slab/wall penetration</t>
        </is>
      </c>
      <c r="F25" s="5" t="inlineStr">
        <is>
          <t>pcs</t>
        </is>
      </c>
      <c r="G25" s="27" t="n">
        <v>2</v>
      </c>
      <c r="H25" s="27" t="n">
        <v>3</v>
      </c>
      <c r="I25" s="27" t="n">
        <v>4</v>
      </c>
      <c r="J25" s="22" t="n">
        <v>7</v>
      </c>
      <c r="K25" s="22">
        <f>IF(OR(H25="",J25="",J25=0),"",H25*J25)</f>
        <v/>
      </c>
      <c r="L25" s="5" t="inlineStr">
        <is>
          <t>Home Depot</t>
        </is>
      </c>
      <c r="M25" s="5" t="inlineStr">
        <is>
          <t>Generic 1" sleeve</t>
        </is>
      </c>
      <c r="N25" s="5" t="inlineStr"/>
      <c r="O25" s="5" t="inlineStr">
        <is>
          <t>TBD</t>
        </is>
      </c>
      <c r="P25" s="5" t="inlineStr">
        <is>
          <t>medium</t>
        </is>
      </c>
      <c r="Q25" s="5" t="inlineStr"/>
    </row>
    <row r="26">
      <c r="A26" s="5" t="n">
        <v>22</v>
      </c>
      <c r="B26" s="5" t="inlineStr">
        <is>
          <t>Site / Trenching</t>
        </is>
      </c>
      <c r="C26" s="5" t="inlineStr">
        <is>
          <t>Water Supply</t>
        </is>
      </c>
      <c r="D26" s="5" t="inlineStr">
        <is>
          <t>Pipe Insulation (above-grade)</t>
        </is>
      </c>
      <c r="E26" s="5" t="inlineStr">
        <is>
          <t>Foam tube 1"</t>
        </is>
      </c>
      <c r="F26" s="5" t="inlineStr">
        <is>
          <t>linear ft</t>
        </is>
      </c>
      <c r="G26" s="27" t="n">
        <v>30</v>
      </c>
      <c r="H26" s="27" t="n">
        <v>50</v>
      </c>
      <c r="I26" s="27" t="n">
        <v>80</v>
      </c>
      <c r="J26" s="22" t="n">
        <v>0.7</v>
      </c>
      <c r="K26" s="22">
        <f>IF(OR(H26="",J26="",J26=0),"",H26*J26)</f>
        <v/>
      </c>
      <c r="L26" s="5" t="inlineStr">
        <is>
          <t>Home Depot</t>
        </is>
      </c>
      <c r="M26" s="5" t="inlineStr">
        <is>
          <t>Armaflex foam 1"</t>
        </is>
      </c>
      <c r="N26" s="5" t="inlineStr"/>
      <c r="O26" s="5" t="inlineStr">
        <is>
          <t>TBD</t>
        </is>
      </c>
      <c r="P26" s="5" t="inlineStr">
        <is>
          <t>medium</t>
        </is>
      </c>
      <c r="Q26" s="5" t="inlineStr">
        <is>
          <t>Above-grade insulation | Ціна збір: 2026-05-28</t>
        </is>
      </c>
    </row>
    <row r="27">
      <c r="A27" s="5" t="n">
        <v>23</v>
      </c>
      <c r="B27" s="5" t="inlineStr">
        <is>
          <t>Site / Trenching</t>
        </is>
      </c>
      <c r="C27" s="5" t="inlineStr">
        <is>
          <t>Water Supply</t>
        </is>
      </c>
      <c r="D27" s="5" t="inlineStr">
        <is>
          <t>Tracer Wire 14 AWG (water)</t>
        </is>
      </c>
      <c r="E27" s="5" t="inlineStr">
        <is>
          <t>Locator wire для non-metallic</t>
        </is>
      </c>
      <c r="F27" s="5" t="inlineStr">
        <is>
          <t>linear ft</t>
        </is>
      </c>
      <c r="G27" s="27" t="n">
        <v>100</v>
      </c>
      <c r="H27" s="27" t="n">
        <v>110</v>
      </c>
      <c r="I27" s="27" t="n">
        <v>120</v>
      </c>
      <c r="J27" s="22" t="n">
        <v>0.15</v>
      </c>
      <c r="K27" s="22">
        <f>IF(OR(H27="",J27="",J27=0),"",H27*J27)</f>
        <v/>
      </c>
      <c r="L27" s="5" t="inlineStr">
        <is>
          <t>Home Depot</t>
        </is>
      </c>
      <c r="M27" s="5" t="inlineStr">
        <is>
          <t>Generic 14 AWG tracer</t>
        </is>
      </c>
      <c r="N27" s="5" t="inlineStr"/>
      <c r="O27" s="5" t="inlineStr">
        <is>
          <t>Confirmed</t>
        </is>
      </c>
      <c r="P27" s="5" t="inlineStr">
        <is>
          <t>medium</t>
        </is>
      </c>
      <c r="Q27" s="5" t="inlineStr">
        <is>
          <t>Recommended — verify if required by local code | Tracer wire — verify if required by code | Ціна збір: 2026-05-28</t>
        </is>
      </c>
    </row>
    <row r="28">
      <c r="A28" s="5" t="n">
        <v>24</v>
      </c>
      <c r="B28" s="5" t="inlineStr">
        <is>
          <t>Site / Trenching</t>
        </is>
      </c>
      <c r="C28" s="5" t="inlineStr">
        <is>
          <t>Water Supply</t>
        </is>
      </c>
      <c r="D28" s="5" t="inlineStr">
        <is>
          <t>Warning Tape (water)</t>
        </is>
      </c>
      <c r="E28" s="5" t="inlineStr">
        <is>
          <t>'CAUTION WATER'</t>
        </is>
      </c>
      <c r="F28" s="5" t="inlineStr">
        <is>
          <t>rolls</t>
        </is>
      </c>
      <c r="G28" s="27" t="n">
        <v>1</v>
      </c>
      <c r="H28" s="27" t="n">
        <v>1</v>
      </c>
      <c r="I28" s="27" t="n">
        <v>1</v>
      </c>
      <c r="J28" s="22" t="n">
        <v>12</v>
      </c>
      <c r="K28" s="22">
        <f>IF(OR(H28="",J28="",J28=0),"",H28*J28)</f>
        <v/>
      </c>
      <c r="L28" s="5" t="inlineStr">
        <is>
          <t>Home Depot</t>
        </is>
      </c>
      <c r="M28" s="5" t="inlineStr">
        <is>
          <t>Generic 'WATER' tape</t>
        </is>
      </c>
      <c r="N28" s="5" t="inlineStr"/>
      <c r="O28" s="5" t="inlineStr">
        <is>
          <t>Confirmed</t>
        </is>
      </c>
      <c r="P28" s="5" t="inlineStr">
        <is>
          <t>medium</t>
        </is>
      </c>
      <c r="Q28" s="5" t="inlineStr"/>
    </row>
    <row r="29">
      <c r="A29" s="5" t="n">
        <v>25</v>
      </c>
      <c r="B29" s="5" t="inlineStr">
        <is>
          <t>Site / Trenching</t>
        </is>
      </c>
      <c r="C29" s="5" t="inlineStr">
        <is>
          <t>Water Supply</t>
        </is>
      </c>
      <c r="D29" s="5" t="inlineStr">
        <is>
          <t>Bedding Material</t>
        </is>
      </c>
      <c r="E29" s="5" t="inlineStr">
        <is>
          <t>Sand bed під pipe</t>
        </is>
      </c>
      <c r="F29" s="5" t="inlineStr">
        <is>
          <t>cu yd</t>
        </is>
      </c>
      <c r="G29" s="27" t="n">
        <v>1</v>
      </c>
      <c r="H29" s="27" t="n">
        <v>2</v>
      </c>
      <c r="I29" s="27" t="n">
        <v>3</v>
      </c>
      <c r="J29" s="22" t="n">
        <v>45</v>
      </c>
      <c r="K29" s="22">
        <f>IF(OR(H29="",J29="",J29=0),"",H29*J29)</f>
        <v/>
      </c>
      <c r="L29" s="5" t="inlineStr">
        <is>
          <t>Aggregate yard</t>
        </is>
      </c>
      <c r="M29" s="5" t="inlineStr">
        <is>
          <t>Aggregate yard</t>
        </is>
      </c>
      <c r="N29" s="5" t="inlineStr"/>
      <c r="O29" s="5" t="inlineStr">
        <is>
          <t>TBD</t>
        </is>
      </c>
      <c r="P29" s="5" t="inlineStr">
        <is>
          <t>medium</t>
        </is>
      </c>
      <c r="Q29" s="5" t="inlineStr">
        <is>
          <t>Sand bedding | Ціна збір: 2026-05-28</t>
        </is>
      </c>
    </row>
    <row r="30">
      <c r="A30" s="5" t="n">
        <v>26</v>
      </c>
      <c r="B30" s="5" t="inlineStr">
        <is>
          <t>Site / Trenching</t>
        </is>
      </c>
      <c r="C30" s="5" t="inlineStr">
        <is>
          <t>Water Supply</t>
        </is>
      </c>
      <c r="D30" s="5" t="inlineStr">
        <is>
          <t>Pressure Regulator / Backflow</t>
        </is>
      </c>
      <c r="E30" s="5" t="inlineStr">
        <is>
          <t>Якщо street &gt;80 PSI</t>
        </is>
      </c>
      <c r="F30" s="5" t="inlineStr">
        <is>
          <t>pcs</t>
        </is>
      </c>
      <c r="G30" s="27" t="n">
        <v>0</v>
      </c>
      <c r="H30" s="27" t="n">
        <v>1</v>
      </c>
      <c r="I30" s="27" t="n">
        <v>1</v>
      </c>
      <c r="J30" s="22" t="n">
        <v>100</v>
      </c>
      <c r="K30" s="22">
        <f>IF(OR(H30="",J30="",J30=0),"",H30*J30)</f>
        <v/>
      </c>
      <c r="L30" s="5" t="inlineStr">
        <is>
          <t>Home Depot</t>
        </is>
      </c>
      <c r="M30" s="5" t="inlineStr">
        <is>
          <t>Watts / Honeywell PRV</t>
        </is>
      </c>
      <c r="N30" s="5" t="inlineStr"/>
      <c r="O30" s="5" t="inlineStr">
        <is>
          <t>TBD</t>
        </is>
      </c>
      <c r="P30" s="5" t="inlineStr">
        <is>
          <t>low</t>
        </is>
      </c>
      <c r="Q30" s="5" t="inlineStr">
        <is>
          <t>If street &gt;80 PSI | Ціна збір: 2026-05-28</t>
        </is>
      </c>
    </row>
    <row r="31">
      <c r="A31" s="5" t="n">
        <v>27</v>
      </c>
      <c r="B31" s="5" t="inlineStr">
        <is>
          <t>Site / Trenching</t>
        </is>
      </c>
      <c r="C31" s="5" t="inlineStr">
        <is>
          <t>Water Supply</t>
        </is>
      </c>
      <c r="D31" s="5" t="inlineStr">
        <is>
          <t>Pressure Test Cap / Plug Set</t>
        </is>
      </c>
      <c r="E31" s="5" t="inlineStr">
        <is>
          <t>Для rough-in pressure test</t>
        </is>
      </c>
      <c r="F31" s="5" t="inlineStr">
        <is>
          <t>set</t>
        </is>
      </c>
      <c r="G31" s="27" t="n">
        <v>1</v>
      </c>
      <c r="H31" s="27" t="n">
        <v>1</v>
      </c>
      <c r="I31" s="27" t="n">
        <v>1</v>
      </c>
      <c r="J31" s="22" t="n">
        <v>20</v>
      </c>
      <c r="K31" s="22">
        <f>IF(OR(H31="",J31="",J31=0),"",H31*J31)</f>
        <v/>
      </c>
      <c r="L31" s="5" t="inlineStr">
        <is>
          <t>Home Depot</t>
        </is>
      </c>
      <c r="M31" s="5" t="inlineStr">
        <is>
          <t>Generic test cap set</t>
        </is>
      </c>
      <c r="N31" s="5" t="inlineStr"/>
      <c r="O31" s="5" t="inlineStr">
        <is>
          <t>Confirmed</t>
        </is>
      </c>
      <c r="P31" s="5" t="inlineStr">
        <is>
          <t>medium</t>
        </is>
      </c>
      <c r="Q31" s="5" t="inlineStr">
        <is>
          <t>ДОДАНО (review): для rough-in testing | ДОДАНО: pressure test caps | Ціна збір: 2026-05-28</t>
        </is>
      </c>
    </row>
    <row r="32">
      <c r="A32" s="5" t="n">
        <v>28</v>
      </c>
      <c r="B32" s="5" t="inlineStr">
        <is>
          <t>Site / Trenching</t>
        </is>
      </c>
      <c r="C32" s="5" t="inlineStr">
        <is>
          <t>Water Supply</t>
        </is>
      </c>
      <c r="D32" s="5" t="inlineStr">
        <is>
          <t>Ball Valve Access Box</t>
        </is>
      </c>
      <c r="E32" s="5" t="inlineStr">
        <is>
          <t>Якщо shut-off зовні / underground</t>
        </is>
      </c>
      <c r="F32" s="5" t="inlineStr">
        <is>
          <t>pcs</t>
        </is>
      </c>
      <c r="G32" s="27" t="n">
        <v>0</v>
      </c>
      <c r="H32" s="27" t="n">
        <v>1</v>
      </c>
      <c r="I32" s="27" t="n">
        <v>1</v>
      </c>
      <c r="J32" s="22" t="n">
        <v>25</v>
      </c>
      <c r="K32" s="22">
        <f>IF(OR(H32="",J32="",J32=0),"",H32*J32)</f>
        <v/>
      </c>
      <c r="L32" s="5" t="inlineStr">
        <is>
          <t>Home Depot</t>
        </is>
      </c>
      <c r="M32" s="5" t="inlineStr">
        <is>
          <t>Generic valve access box</t>
        </is>
      </c>
      <c r="N32" s="5" t="inlineStr"/>
      <c r="O32" s="5" t="inlineStr">
        <is>
          <t>TBD</t>
        </is>
      </c>
      <c r="P32" s="5" t="inlineStr">
        <is>
          <t>medium</t>
        </is>
      </c>
      <c r="Q32" s="5" t="inlineStr">
        <is>
          <t>ДОДАНО (review): access для outdoor shut-off | ДОДАНО: outdoor shut-off access | Ціна збір: 2026-05-28</t>
        </is>
      </c>
    </row>
    <row r="33">
      <c r="A33" s="5" t="n">
        <v>29</v>
      </c>
      <c r="B33" s="5" t="inlineStr">
        <is>
          <t>Site / Trenching</t>
        </is>
      </c>
      <c r="C33" s="5" t="inlineStr">
        <is>
          <t>Water Supply</t>
        </is>
      </c>
      <c r="D33" s="5" t="inlineStr">
        <is>
          <t>Pipe Clamps / Supports</t>
        </is>
      </c>
      <c r="E33" s="5" t="inlineStr">
        <is>
          <t>Для above-grade sections</t>
        </is>
      </c>
      <c r="F33" s="5" t="inlineStr">
        <is>
          <t>pack</t>
        </is>
      </c>
      <c r="G33" s="27" t="n">
        <v>1</v>
      </c>
      <c r="H33" s="27" t="n">
        <v>1</v>
      </c>
      <c r="I33" s="27" t="n">
        <v>2</v>
      </c>
      <c r="J33" s="22" t="n">
        <v>20</v>
      </c>
      <c r="K33" s="22">
        <f>IF(OR(H33="",J33="",J33=0),"",H33*J33)</f>
        <v/>
      </c>
      <c r="L33" s="5" t="inlineStr">
        <is>
          <t>Home Depot</t>
        </is>
      </c>
      <c r="M33" s="5" t="inlineStr">
        <is>
          <t>Generic pipe clamps pack</t>
        </is>
      </c>
      <c r="N33" s="5" t="inlineStr"/>
      <c r="O33" s="5" t="inlineStr">
        <is>
          <t>Confirmed</t>
        </is>
      </c>
      <c r="P33" s="5" t="inlineStr">
        <is>
          <t>medium</t>
        </is>
      </c>
      <c r="Q33" s="5" t="inlineStr">
        <is>
          <t>ДОДАНО (review) | ДОДАНО: above-grade pipe supports | Ціна збір: 2026-05-28</t>
        </is>
      </c>
    </row>
    <row r="34">
      <c r="A34" s="5" t="n">
        <v>30</v>
      </c>
      <c r="B34" s="5" t="inlineStr">
        <is>
          <t>Site / Trenching</t>
        </is>
      </c>
      <c r="C34" s="5" t="inlineStr">
        <is>
          <t>Electrical Feed</t>
        </is>
      </c>
      <c r="D34" s="5" t="inlineStr">
        <is>
          <t>Electrical Conduit (feeder)</t>
        </is>
      </c>
      <c r="E34" s="5" t="inlineStr">
        <is>
          <t>Schedule 40 PVC 2"</t>
        </is>
      </c>
      <c r="F34" s="5" t="inlineStr">
        <is>
          <t>linear ft</t>
        </is>
      </c>
      <c r="G34" s="27" t="n">
        <v>50</v>
      </c>
      <c r="H34" s="27" t="n">
        <v>60</v>
      </c>
      <c r="I34" s="27" t="n">
        <v>70</v>
      </c>
      <c r="J34" s="22" t="n">
        <v>1.1</v>
      </c>
      <c r="K34" s="22">
        <f>IF(OR(H34="",J34="",J34=0),"",H34*J34)</f>
        <v/>
      </c>
      <c r="L34" s="5" t="inlineStr">
        <is>
          <t>Home Depot</t>
        </is>
      </c>
      <c r="M34" s="5" t="inlineStr">
        <is>
          <t>Cantex / Carlon Sch40 2"</t>
        </is>
      </c>
      <c r="N34" s="5" t="inlineStr"/>
      <c r="O34" s="5" t="inlineStr">
        <is>
          <t>Confirmed</t>
        </is>
      </c>
      <c r="P34" s="5" t="inlineStr">
        <is>
          <t>medium</t>
        </is>
      </c>
      <c r="Q34" s="5" t="inlineStr">
        <is>
          <t>50 ft підтверджено | $11 per 10ft. Sch 40 PVC | Ціна збір: 2026-05-28</t>
        </is>
      </c>
    </row>
    <row r="35">
      <c r="A35" s="5" t="n">
        <v>31</v>
      </c>
      <c r="B35" s="5" t="inlineStr">
        <is>
          <t>Site / Trenching</t>
        </is>
      </c>
      <c r="C35" s="5" t="inlineStr">
        <is>
          <t>Electrical Feed</t>
        </is>
      </c>
      <c r="D35" s="5" t="inlineStr">
        <is>
          <t>PVC 90° Sweeps Long-Radius 2"</t>
        </is>
      </c>
      <c r="E35" s="5" t="inlineStr">
        <is>
          <t>Bends in trench</t>
        </is>
      </c>
      <c r="F35" s="5" t="inlineStr">
        <is>
          <t>pcs</t>
        </is>
      </c>
      <c r="G35" s="27" t="n">
        <v>2</v>
      </c>
      <c r="H35" s="27" t="n">
        <v>3</v>
      </c>
      <c r="I35" s="27" t="n">
        <v>4</v>
      </c>
      <c r="J35" s="22" t="n">
        <v>20</v>
      </c>
      <c r="K35" s="22">
        <f>IF(OR(H35="",J35="",J35=0),"",H35*J35)</f>
        <v/>
      </c>
      <c r="L35" s="5" t="inlineStr">
        <is>
          <t>Home Depot</t>
        </is>
      </c>
      <c r="M35" s="5" t="inlineStr">
        <is>
          <t>Cantex / Carlon long-radius</t>
        </is>
      </c>
      <c r="N35" s="5" t="inlineStr"/>
      <c r="O35" s="5" t="inlineStr">
        <is>
          <t>Confirmed</t>
        </is>
      </c>
      <c r="P35" s="5" t="inlineStr">
        <is>
          <t>medium</t>
        </is>
      </c>
      <c r="Q35" s="5" t="inlineStr">
        <is>
          <t>Long-radius для cable pulling | 90° LR sweep для cable pulling | Ціна збір: 2026-05-28</t>
        </is>
      </c>
    </row>
    <row r="36">
      <c r="A36" s="5" t="n">
        <v>32</v>
      </c>
      <c r="B36" s="5" t="inlineStr">
        <is>
          <t>Site / Trenching</t>
        </is>
      </c>
      <c r="C36" s="5" t="inlineStr">
        <is>
          <t>Electrical Feed</t>
        </is>
      </c>
      <c r="D36" s="5" t="inlineStr">
        <is>
          <t>PVC 45° Sweeps 2"</t>
        </is>
      </c>
      <c r="E36" s="5" t="inlineStr">
        <is>
          <t>Transitions</t>
        </is>
      </c>
      <c r="F36" s="5" t="inlineStr">
        <is>
          <t>pcs</t>
        </is>
      </c>
      <c r="G36" s="27" t="n">
        <v>1</v>
      </c>
      <c r="H36" s="27" t="n">
        <v>2</v>
      </c>
      <c r="I36" s="27" t="n">
        <v>3</v>
      </c>
      <c r="J36" s="22" t="n">
        <v>15</v>
      </c>
      <c r="K36" s="22">
        <f>IF(OR(H36="",J36="",J36=0),"",H36*J36)</f>
        <v/>
      </c>
      <c r="L36" s="5" t="inlineStr">
        <is>
          <t>Home Depot</t>
        </is>
      </c>
      <c r="M36" s="5" t="inlineStr">
        <is>
          <t>Cantex / Carlon</t>
        </is>
      </c>
      <c r="N36" s="5" t="inlineStr"/>
      <c r="O36" s="5" t="inlineStr">
        <is>
          <t>Confirmed</t>
        </is>
      </c>
      <c r="P36" s="5" t="inlineStr">
        <is>
          <t>medium</t>
        </is>
      </c>
      <c r="Q36" s="5" t="inlineStr">
        <is>
          <t>45° sweep | Ціна збір: 2026-05-28</t>
        </is>
      </c>
    </row>
    <row r="37">
      <c r="A37" s="5" t="n">
        <v>33</v>
      </c>
      <c r="B37" s="5" t="inlineStr">
        <is>
          <t>Site / Trenching</t>
        </is>
      </c>
      <c r="C37" s="5" t="inlineStr">
        <is>
          <t>Electrical Feed</t>
        </is>
      </c>
      <c r="D37" s="5" t="inlineStr">
        <is>
          <t>PVC Expansion Fitting 2"</t>
        </is>
      </c>
      <c r="E37" s="5" t="inlineStr">
        <is>
          <t>Thermal expansion compensation</t>
        </is>
      </c>
      <c r="F37" s="5" t="inlineStr">
        <is>
          <t>pcs</t>
        </is>
      </c>
      <c r="G37" s="27" t="n">
        <v>1</v>
      </c>
      <c r="H37" s="27" t="n">
        <v>1</v>
      </c>
      <c r="I37" s="27" t="n">
        <v>1</v>
      </c>
      <c r="J37" s="22" t="n">
        <v>25</v>
      </c>
      <c r="K37" s="22">
        <f>IF(OR(H37="",J37="",J37=0),"",H37*J37)</f>
        <v/>
      </c>
      <c r="L37" s="5" t="inlineStr">
        <is>
          <t>Home Depot</t>
        </is>
      </c>
      <c r="M37" s="5" t="inlineStr">
        <is>
          <t>Cantex expansion</t>
        </is>
      </c>
      <c r="N37" s="5" t="inlineStr"/>
      <c r="O37" s="5" t="inlineStr">
        <is>
          <t>Confirmed</t>
        </is>
      </c>
      <c r="P37" s="5" t="inlineStr">
        <is>
          <t>medium</t>
        </is>
      </c>
      <c r="Q37" s="5" t="inlineStr">
        <is>
          <t>Recommended — verify if required by local code | Thermal expansion — verify if req'd | Ціна збір: 2026-05-28</t>
        </is>
      </c>
    </row>
    <row r="38">
      <c r="A38" s="5" t="n">
        <v>34</v>
      </c>
      <c r="B38" s="5" t="inlineStr">
        <is>
          <t>Site / Trenching</t>
        </is>
      </c>
      <c r="C38" s="5" t="inlineStr">
        <is>
          <t>Electrical Feed</t>
        </is>
      </c>
      <c r="D38" s="5" t="inlineStr">
        <is>
          <t>PVC Conduit Cement</t>
        </is>
      </c>
      <c r="E38" s="5" t="inlineStr">
        <is>
          <t>Solvent weld for PVC</t>
        </is>
      </c>
      <c r="F38" s="5" t="inlineStr">
        <is>
          <t>cans</t>
        </is>
      </c>
      <c r="G38" s="27" t="n">
        <v>1</v>
      </c>
      <c r="H38" s="27" t="n">
        <v>1</v>
      </c>
      <c r="I38" s="27" t="n">
        <v>1</v>
      </c>
      <c r="J38" s="22" t="n">
        <v>10</v>
      </c>
      <c r="K38" s="22">
        <f>IF(OR(H38="",J38="",J38=0),"",H38*J38)</f>
        <v/>
      </c>
      <c r="L38" s="5" t="inlineStr">
        <is>
          <t>Home Depot</t>
        </is>
      </c>
      <c r="M38" s="5" t="inlineStr">
        <is>
          <t>Oatey PVC cement</t>
        </is>
      </c>
      <c r="N38" s="5" t="inlineStr"/>
      <c r="O38" s="5" t="inlineStr">
        <is>
          <t>Confirmed</t>
        </is>
      </c>
      <c r="P38" s="5" t="inlineStr">
        <is>
          <t>medium</t>
        </is>
      </c>
      <c r="Q38" s="5" t="inlineStr">
        <is>
          <t>Conduit solvent weld | Ціна збір: 2026-05-28</t>
        </is>
      </c>
    </row>
    <row r="39">
      <c r="A39" s="5" t="n">
        <v>35</v>
      </c>
      <c r="B39" s="5" t="inlineStr">
        <is>
          <t>Site / Trenching</t>
        </is>
      </c>
      <c r="C39" s="5" t="inlineStr">
        <is>
          <t>Electrical Feed</t>
        </is>
      </c>
      <c r="D39" s="5" t="inlineStr">
        <is>
          <t>Feeder Wire</t>
        </is>
      </c>
      <c r="E39" s="5" t="inlineStr">
        <is>
          <t>Cu SER 4-4-4-6 (base) OR Al SER 2-2-2-4</t>
        </is>
      </c>
      <c r="F39" s="5" t="inlineStr">
        <is>
          <t>linear ft</t>
        </is>
      </c>
      <c r="G39" s="27" t="n">
        <v>50</v>
      </c>
      <c r="H39" s="27" t="n">
        <v>60</v>
      </c>
      <c r="I39" s="27" t="n">
        <v>70</v>
      </c>
      <c r="J39" s="22" t="n">
        <v>8.779999999999999</v>
      </c>
      <c r="K39" s="22">
        <f>IF(OR(H39="",J39="",J39=0),"",H39*J39)</f>
        <v/>
      </c>
      <c r="L39" s="5" t="inlineStr">
        <is>
          <t>Home Depot / specialty</t>
        </is>
      </c>
      <c r="M39" s="5" t="inlineStr">
        <is>
          <t>Cu SER 4-4-4-6 (base) / Al SER 2-2-2-4 (alt)</t>
        </is>
      </c>
      <c r="N39" s="5" t="inlineStr">
        <is>
          <t>https://www.wireandcableyourway.com/4-4-4-6-copper-ser-service-entrance-cable</t>
        </is>
      </c>
      <c r="O39" s="5" t="inlineStr">
        <is>
          <t>TBD</t>
        </is>
      </c>
      <c r="P39" s="5" t="inlineStr">
        <is>
          <t>high</t>
        </is>
      </c>
      <c r="Q39" s="5" t="inlineStr">
        <is>
          <t>TBD by electrician / load calculation. Cu SER ~$8.78/LF, Al SER ~$3.50/LF (-$315 з 60 LF). Final type/size pendant on ADU load calc | TBD by electrician/load calc. Cu $8.78/LF, Al ~$3.50/LF (-$315) | Ціна збір: 2026-05-28</t>
        </is>
      </c>
    </row>
    <row r="40">
      <c r="A40" s="5" t="n">
        <v>36</v>
      </c>
      <c r="B40" s="5" t="inlineStr">
        <is>
          <t>Site / Trenching</t>
        </is>
      </c>
      <c r="C40" s="5" t="inlineStr">
        <is>
          <t>Electrical Feed</t>
        </is>
      </c>
      <c r="D40" s="5" t="inlineStr">
        <is>
          <t>Disconnect Switch (exterior)</t>
        </is>
      </c>
      <c r="E40" s="5" t="inlineStr">
        <is>
          <t>100A non-fusible if req'd</t>
        </is>
      </c>
      <c r="F40" s="5" t="inlineStr">
        <is>
          <t>pcs</t>
        </is>
      </c>
      <c r="G40" s="27" t="n">
        <v>0</v>
      </c>
      <c r="H40" s="27" t="n">
        <v>1</v>
      </c>
      <c r="I40" s="27" t="n">
        <v>1</v>
      </c>
      <c r="J40" s="22" t="n">
        <v>45</v>
      </c>
      <c r="K40" s="22">
        <f>IF(OR(H40="",J40="",J40=0),"",H40*J40)</f>
        <v/>
      </c>
      <c r="L40" s="5" t="inlineStr">
        <is>
          <t>Home Depot</t>
        </is>
      </c>
      <c r="M40" s="5" t="inlineStr">
        <is>
          <t>Square D / Eaton 100A</t>
        </is>
      </c>
      <c r="N40" s="5" t="inlineStr"/>
      <c r="O40" s="5" t="inlineStr">
        <is>
          <t>TBD</t>
        </is>
      </c>
      <c r="P40" s="5" t="inlineStr">
        <is>
          <t>medium</t>
        </is>
      </c>
      <c r="Q40" s="5" t="inlineStr">
        <is>
          <t>Non-fusible exterior if req'd | Ціна збір: 2026-05-28</t>
        </is>
      </c>
    </row>
    <row r="41">
      <c r="A41" s="5" t="n">
        <v>37</v>
      </c>
      <c r="B41" s="5" t="inlineStr">
        <is>
          <t>Site / Trenching</t>
        </is>
      </c>
      <c r="C41" s="5" t="inlineStr">
        <is>
          <t>Electrical Feed</t>
        </is>
      </c>
      <c r="D41" s="5" t="inlineStr">
        <is>
          <t>Ground Rod 8 ft Copper-clad</t>
        </is>
      </c>
      <c r="E41" s="5" t="inlineStr">
        <is>
          <t>Driven rod</t>
        </is>
      </c>
      <c r="F41" s="5" t="inlineStr">
        <is>
          <t>pcs</t>
        </is>
      </c>
      <c r="G41" s="27" t="n">
        <v>1</v>
      </c>
      <c r="H41" s="27" t="n">
        <v>1</v>
      </c>
      <c r="I41" s="27" t="n">
        <v>2</v>
      </c>
      <c r="J41" s="22" t="n">
        <v>18</v>
      </c>
      <c r="K41" s="22">
        <f>IF(OR(H41="",J41="",J41=0),"",H41*J41)</f>
        <v/>
      </c>
      <c r="L41" s="5" t="inlineStr">
        <is>
          <t>Home Depot</t>
        </is>
      </c>
      <c r="M41" s="5" t="inlineStr">
        <is>
          <t>Copper-clad 8 ft rod</t>
        </is>
      </c>
      <c r="N41" s="5" t="inlineStr"/>
      <c r="O41" s="5" t="inlineStr">
        <is>
          <t>Confirmed</t>
        </is>
      </c>
      <c r="P41" s="5" t="inlineStr">
        <is>
          <t>medium</t>
        </is>
      </c>
      <c r="Q41" s="5" t="inlineStr">
        <is>
          <t>Driven ground rod | Ціна збір: 2026-05-28</t>
        </is>
      </c>
    </row>
    <row r="42">
      <c r="A42" s="5" t="n">
        <v>38</v>
      </c>
      <c r="B42" s="5" t="inlineStr">
        <is>
          <t>Site / Trenching</t>
        </is>
      </c>
      <c r="C42" s="5" t="inlineStr">
        <is>
          <t>Electrical Feed</t>
        </is>
      </c>
      <c r="D42" s="5" t="inlineStr">
        <is>
          <t>Ground Rod Clamp</t>
        </is>
      </c>
      <c r="E42" s="5" t="inlineStr">
        <is>
          <t>Acorn or bolt clamp</t>
        </is>
      </c>
      <c r="F42" s="5" t="inlineStr">
        <is>
          <t>pcs</t>
        </is>
      </c>
      <c r="G42" s="27" t="n">
        <v>1</v>
      </c>
      <c r="H42" s="27" t="n">
        <v>1</v>
      </c>
      <c r="I42" s="27" t="n">
        <v>2</v>
      </c>
      <c r="J42" s="22" t="n">
        <v>5</v>
      </c>
      <c r="K42" s="22">
        <f>IF(OR(H42="",J42="",J42=0),"",H42*J42)</f>
        <v/>
      </c>
      <c r="L42" s="5" t="inlineStr">
        <is>
          <t>Home Depot</t>
        </is>
      </c>
      <c r="M42" s="5" t="inlineStr">
        <is>
          <t>Acorn ground clamp</t>
        </is>
      </c>
      <c r="N42" s="5" t="inlineStr"/>
      <c r="O42" s="5" t="inlineStr">
        <is>
          <t>Confirmed</t>
        </is>
      </c>
      <c r="P42" s="5" t="inlineStr">
        <is>
          <t>medium</t>
        </is>
      </c>
      <c r="Q42" s="5" t="inlineStr">
        <is>
          <t>Bolt-on | Ціна збір: 2026-05-28</t>
        </is>
      </c>
    </row>
    <row r="43">
      <c r="A43" s="5" t="n">
        <v>39</v>
      </c>
      <c r="B43" s="5" t="inlineStr">
        <is>
          <t>Site / Trenching</t>
        </is>
      </c>
      <c r="C43" s="5" t="inlineStr">
        <is>
          <t>Electrical Feed</t>
        </is>
      </c>
      <c r="D43" s="5" t="inlineStr">
        <is>
          <t>#6 Bare Cu Ground Wire</t>
        </is>
      </c>
      <c r="E43" s="5" t="inlineStr">
        <is>
          <t>Service ground</t>
        </is>
      </c>
      <c r="F43" s="5" t="inlineStr">
        <is>
          <t>linear ft</t>
        </is>
      </c>
      <c r="G43" s="27" t="n">
        <v>10</v>
      </c>
      <c r="H43" s="27" t="n">
        <v>15</v>
      </c>
      <c r="I43" s="27" t="n">
        <v>25</v>
      </c>
      <c r="J43" s="22" t="n">
        <v>1.2</v>
      </c>
      <c r="K43" s="22">
        <f>IF(OR(H43="",J43="",J43=0),"",H43*J43)</f>
        <v/>
      </c>
      <c r="L43" s="5" t="inlineStr">
        <is>
          <t>Home Depot</t>
        </is>
      </c>
      <c r="M43" s="5" t="inlineStr">
        <is>
          <t>#6 bare copper</t>
        </is>
      </c>
      <c r="N43" s="5" t="inlineStr"/>
      <c r="O43" s="5" t="inlineStr">
        <is>
          <t>Confirmed</t>
        </is>
      </c>
      <c r="P43" s="5" t="inlineStr">
        <is>
          <t>medium</t>
        </is>
      </c>
      <c r="Q43" s="5" t="inlineStr">
        <is>
          <t>Per LF, service ground | Ціна збір: 2026-05-28</t>
        </is>
      </c>
    </row>
    <row r="44">
      <c r="A44" s="5" t="n">
        <v>40</v>
      </c>
      <c r="B44" s="5" t="inlineStr">
        <is>
          <t>Site / Trenching</t>
        </is>
      </c>
      <c r="C44" s="5" t="inlineStr">
        <is>
          <t>Electrical Feed</t>
        </is>
      </c>
      <c r="D44" s="5" t="inlineStr">
        <is>
          <t>Pull String / Fish Tape</t>
        </is>
      </c>
      <c r="E44" s="5" t="inlineStr">
        <is>
          <t>Для cable pulling</t>
        </is>
      </c>
      <c r="F44" s="5" t="inlineStr">
        <is>
          <t>pcs</t>
        </is>
      </c>
      <c r="G44" s="27" t="n">
        <v>1</v>
      </c>
      <c r="H44" s="27" t="n">
        <v>1</v>
      </c>
      <c r="I44" s="27" t="n">
        <v>1</v>
      </c>
      <c r="J44" s="22" t="n">
        <v>20</v>
      </c>
      <c r="K44" s="22">
        <f>IF(OR(H44="",J44="",J44=0),"",H44*J44)</f>
        <v/>
      </c>
      <c r="L44" s="5" t="inlineStr">
        <is>
          <t>Home Depot</t>
        </is>
      </c>
      <c r="M44" s="5" t="inlineStr">
        <is>
          <t>Generic pull string / mule tape</t>
        </is>
      </c>
      <c r="N44" s="5" t="inlineStr"/>
      <c r="O44" s="5" t="inlineStr">
        <is>
          <t>Confirmed</t>
        </is>
      </c>
      <c r="P44" s="5" t="inlineStr">
        <is>
          <t>medium</t>
        </is>
      </c>
      <c r="Q44" s="5" t="inlineStr">
        <is>
          <t>Cable pulling aid | Ціна збір: 2026-05-28</t>
        </is>
      </c>
    </row>
    <row r="45">
      <c r="A45" s="5" t="n">
        <v>41</v>
      </c>
      <c r="B45" s="5" t="inlineStr">
        <is>
          <t>Site / Trenching</t>
        </is>
      </c>
      <c r="C45" s="5" t="inlineStr">
        <is>
          <t>Electrical Feed</t>
        </is>
      </c>
      <c r="D45" s="5" t="inlineStr">
        <is>
          <t>Anti-oxidant Compound (NOALOX)</t>
        </is>
      </c>
      <c r="E45" s="5" t="inlineStr">
        <is>
          <t>Якщо AL feeder used</t>
        </is>
      </c>
      <c r="F45" s="5" t="inlineStr">
        <is>
          <t>tube</t>
        </is>
      </c>
      <c r="G45" s="27" t="n">
        <v>0</v>
      </c>
      <c r="H45" s="27" t="n">
        <v>1</v>
      </c>
      <c r="I45" s="27" t="n">
        <v>1</v>
      </c>
      <c r="J45" s="22" t="n">
        <v>15</v>
      </c>
      <c r="K45" s="22">
        <f>IF(OR(H45="",J45="",J45=0),"",H45*J45)</f>
        <v/>
      </c>
      <c r="L45" s="5" t="inlineStr">
        <is>
          <t>Home Depot</t>
        </is>
      </c>
      <c r="M45" s="5" t="inlineStr">
        <is>
          <t>NOALOX anti-oxidant</t>
        </is>
      </c>
      <c r="N45" s="5" t="inlineStr"/>
      <c r="O45" s="5" t="inlineStr">
        <is>
          <t>TBD</t>
        </is>
      </c>
      <c r="P45" s="5" t="inlineStr">
        <is>
          <t>medium</t>
        </is>
      </c>
      <c r="Q45" s="5" t="inlineStr">
        <is>
          <t>Якщо AL feeder used | Ціна збір: 2026-05-28</t>
        </is>
      </c>
    </row>
    <row r="46">
      <c r="A46" s="5" t="n">
        <v>42</v>
      </c>
      <c r="B46" s="5" t="inlineStr">
        <is>
          <t>Site / Trenching</t>
        </is>
      </c>
      <c r="C46" s="5" t="inlineStr">
        <is>
          <t>Electrical Feed</t>
        </is>
      </c>
      <c r="D46" s="5" t="inlineStr">
        <is>
          <t>Conduit Straps / Clamps / Mounting</t>
        </is>
      </c>
      <c r="E46" s="5" t="inlineStr">
        <is>
          <t>Для exposed conduit sections</t>
        </is>
      </c>
      <c r="F46" s="5" t="inlineStr">
        <is>
          <t>pack</t>
        </is>
      </c>
      <c r="G46" s="27" t="n">
        <v>1</v>
      </c>
      <c r="H46" s="27" t="n">
        <v>1</v>
      </c>
      <c r="I46" s="27" t="n">
        <v>2</v>
      </c>
      <c r="J46" s="22" t="n">
        <v>20</v>
      </c>
      <c r="K46" s="22">
        <f>IF(OR(H46="",J46="",J46=0),"",H46*J46)</f>
        <v/>
      </c>
      <c r="L46" s="5" t="inlineStr">
        <is>
          <t>Home Depot</t>
        </is>
      </c>
      <c r="M46" s="5" t="inlineStr">
        <is>
          <t>Carlon / Cantex straps pack</t>
        </is>
      </c>
      <c r="N46" s="5" t="inlineStr"/>
      <c r="O46" s="5" t="inlineStr">
        <is>
          <t>Confirmed</t>
        </is>
      </c>
      <c r="P46" s="5" t="inlineStr">
        <is>
          <t>medium</t>
        </is>
      </c>
      <c r="Q46" s="5" t="inlineStr">
        <is>
          <t>ДОДАНО (review): mounting hardware | ДОДАНО: mounting hardware | Ціна збір: 2026-05-28</t>
        </is>
      </c>
    </row>
    <row r="47">
      <c r="A47" s="5" t="n">
        <v>43</v>
      </c>
      <c r="B47" s="5" t="inlineStr">
        <is>
          <t>Site / Trenching</t>
        </is>
      </c>
      <c r="C47" s="5" t="inlineStr">
        <is>
          <t>Electrical Feed</t>
        </is>
      </c>
      <c r="D47" s="5" t="inlineStr">
        <is>
          <t>Terminal Adapters / Bushings</t>
        </is>
      </c>
      <c r="E47" s="5" t="inlineStr">
        <is>
          <t>Stubs, male adapters, bell ends</t>
        </is>
      </c>
      <c r="F47" s="5" t="inlineStr">
        <is>
          <t>pack</t>
        </is>
      </c>
      <c r="G47" s="27" t="n">
        <v>1</v>
      </c>
      <c r="H47" s="27" t="n">
        <v>1</v>
      </c>
      <c r="I47" s="27" t="n">
        <v>1</v>
      </c>
      <c r="J47" s="22" t="n">
        <v>15</v>
      </c>
      <c r="K47" s="22">
        <f>IF(OR(H47="",J47="",J47=0),"",H47*J47)</f>
        <v/>
      </c>
      <c r="L47" s="5" t="inlineStr">
        <is>
          <t>Home Depot</t>
        </is>
      </c>
      <c r="M47" s="5" t="inlineStr">
        <is>
          <t>Generic adapters/bushings pack</t>
        </is>
      </c>
      <c r="N47" s="5" t="inlineStr"/>
      <c r="O47" s="5" t="inlineStr">
        <is>
          <t>Confirmed</t>
        </is>
      </c>
      <c r="P47" s="5" t="inlineStr">
        <is>
          <t>medium</t>
        </is>
      </c>
      <c r="Q47" s="5" t="inlineStr">
        <is>
          <t>ДОДАНО (review) | ДОДАНО: terminal adapters | Ціна збір: 2026-05-28</t>
        </is>
      </c>
    </row>
    <row r="48">
      <c r="A48" s="5" t="n">
        <v>44</v>
      </c>
      <c r="B48" s="5" t="inlineStr">
        <is>
          <t>Site / Trenching</t>
        </is>
      </c>
      <c r="C48" s="5" t="inlineStr">
        <is>
          <t>Electrical Feed</t>
        </is>
      </c>
      <c r="D48" s="5" t="inlineStr">
        <is>
          <t>Subpanel / Circuit Labels</t>
        </is>
      </c>
      <c r="E48" s="5" t="inlineStr">
        <is>
          <t>Для identification</t>
        </is>
      </c>
      <c r="F48" s="5" t="inlineStr">
        <is>
          <t>set</t>
        </is>
      </c>
      <c r="G48" s="27" t="n">
        <v>1</v>
      </c>
      <c r="H48" s="27" t="n">
        <v>1</v>
      </c>
      <c r="I48" s="27" t="n">
        <v>1</v>
      </c>
      <c r="J48" s="22" t="n">
        <v>10</v>
      </c>
      <c r="K48" s="22">
        <f>IF(OR(H48="",J48="",J48=0),"",H48*J48)</f>
        <v/>
      </c>
      <c r="L48" s="5" t="inlineStr">
        <is>
          <t>Home Depot</t>
        </is>
      </c>
      <c r="M48" s="5" t="inlineStr">
        <is>
          <t>Generic labels set</t>
        </is>
      </c>
      <c r="N48" s="5" t="inlineStr"/>
      <c r="O48" s="5" t="inlineStr">
        <is>
          <t>Confirmed</t>
        </is>
      </c>
      <c r="P48" s="5" t="inlineStr">
        <is>
          <t>medium</t>
        </is>
      </c>
      <c r="Q48" s="5" t="inlineStr">
        <is>
          <t>ДОДАНО (review) | ДОДАНО: subpanel/circuit labels | Ціна збір: 2026-05-28</t>
        </is>
      </c>
    </row>
    <row r="49">
      <c r="A49" s="5" t="n">
        <v>45</v>
      </c>
      <c r="B49" s="5" t="inlineStr">
        <is>
          <t>Site / Trenching</t>
        </is>
      </c>
      <c r="C49" s="5" t="inlineStr">
        <is>
          <t>Electrical Feed</t>
        </is>
      </c>
      <c r="D49" s="5" t="inlineStr">
        <is>
          <t>Weatherproof Boxes</t>
        </is>
      </c>
      <c r="E49" s="5" t="inlineStr"/>
      <c r="F49" s="5" t="inlineStr">
        <is>
          <t>pcs</t>
        </is>
      </c>
      <c r="G49" s="27" t="n">
        <v>2</v>
      </c>
      <c r="H49" s="27" t="n">
        <v>3</v>
      </c>
      <c r="I49" s="27" t="n">
        <v>4</v>
      </c>
      <c r="J49" s="22" t="n">
        <v>10</v>
      </c>
      <c r="K49" s="22">
        <f>IF(OR(H49="",J49="",J49=0),"",H49*J49)</f>
        <v/>
      </c>
      <c r="L49" s="5" t="inlineStr">
        <is>
          <t>Home Depot</t>
        </is>
      </c>
      <c r="M49" s="5" t="inlineStr">
        <is>
          <t>RACO / Carlon WP box</t>
        </is>
      </c>
      <c r="N49" s="5" t="inlineStr"/>
      <c r="O49" s="5" t="inlineStr">
        <is>
          <t>Confirmed</t>
        </is>
      </c>
      <c r="P49" s="5" t="inlineStr">
        <is>
          <t>medium</t>
        </is>
      </c>
      <c r="Q49" s="5" t="inlineStr"/>
    </row>
    <row r="50">
      <c r="A50" s="5" t="n">
        <v>46</v>
      </c>
      <c r="B50" s="5" t="inlineStr">
        <is>
          <t>Site / Trenching</t>
        </is>
      </c>
      <c r="C50" s="5" t="inlineStr">
        <is>
          <t>Electrical Feed</t>
        </is>
      </c>
      <c r="D50" s="5" t="inlineStr">
        <is>
          <t>Pull Boxes</t>
        </is>
      </c>
      <c r="E50" s="5" t="inlineStr">
        <is>
          <t>If req'd</t>
        </is>
      </c>
      <c r="F50" s="5" t="inlineStr">
        <is>
          <t>pcs</t>
        </is>
      </c>
      <c r="G50" s="27" t="n">
        <v>0</v>
      </c>
      <c r="H50" s="27" t="n">
        <v>1</v>
      </c>
      <c r="I50" s="27" t="n">
        <v>2</v>
      </c>
      <c r="J50" s="22" t="n">
        <v>25</v>
      </c>
      <c r="K50" s="22">
        <f>IF(OR(H50="",J50="",J50=0),"",H50*J50)</f>
        <v/>
      </c>
      <c r="L50" s="5" t="inlineStr">
        <is>
          <t>Home Depot</t>
        </is>
      </c>
      <c r="M50" s="5" t="inlineStr">
        <is>
          <t>Generic 6×6×4 PVC</t>
        </is>
      </c>
      <c r="N50" s="5" t="inlineStr"/>
      <c r="O50" s="5" t="inlineStr">
        <is>
          <t>TBD</t>
        </is>
      </c>
      <c r="P50" s="5" t="inlineStr">
        <is>
          <t>medium</t>
        </is>
      </c>
      <c r="Q50" s="5" t="inlineStr"/>
    </row>
    <row r="51">
      <c r="A51" s="5" t="n">
        <v>47</v>
      </c>
      <c r="B51" s="5" t="inlineStr">
        <is>
          <t>Site / Trenching</t>
        </is>
      </c>
      <c r="C51" s="5" t="inlineStr">
        <is>
          <t>Electrical Feed</t>
        </is>
      </c>
      <c r="D51" s="5" t="inlineStr">
        <is>
          <t>Underground Warning Tape</t>
        </is>
      </c>
      <c r="E51" s="5" t="inlineStr">
        <is>
          <t>'CAUTION ELECTRIC'</t>
        </is>
      </c>
      <c r="F51" s="5" t="inlineStr">
        <is>
          <t>rolls</t>
        </is>
      </c>
      <c r="G51" s="27" t="n">
        <v>1</v>
      </c>
      <c r="H51" s="27" t="n">
        <v>1</v>
      </c>
      <c r="I51" s="27" t="n">
        <v>1</v>
      </c>
      <c r="J51" s="22" t="n">
        <v>12</v>
      </c>
      <c r="K51" s="22">
        <f>IF(OR(H51="",J51="",J51=0),"",H51*J51)</f>
        <v/>
      </c>
      <c r="L51" s="5" t="inlineStr">
        <is>
          <t>Home Depot</t>
        </is>
      </c>
      <c r="M51" s="5" t="inlineStr">
        <is>
          <t>Generic 'ELECTRIC' red</t>
        </is>
      </c>
      <c r="N51" s="5" t="inlineStr"/>
      <c r="O51" s="5" t="inlineStr">
        <is>
          <t>Confirmed</t>
        </is>
      </c>
      <c r="P51" s="5" t="inlineStr">
        <is>
          <t>medium</t>
        </is>
      </c>
      <c r="Q51" s="5" t="inlineStr"/>
    </row>
    <row r="52">
      <c r="A52" s="5" t="n">
        <v>48</v>
      </c>
      <c r="B52" s="5" t="inlineStr">
        <is>
          <t>Site / Trenching</t>
        </is>
      </c>
      <c r="C52" s="5" t="inlineStr">
        <is>
          <t>Electrical Feed</t>
        </is>
      </c>
      <c r="D52" s="5" t="inlineStr">
        <is>
          <t>Exterior-rated Fittings</t>
        </is>
      </c>
      <c r="E52" s="5" t="inlineStr">
        <is>
          <t>Adapters, bushings pack</t>
        </is>
      </c>
      <c r="F52" s="5" t="inlineStr">
        <is>
          <t>pack</t>
        </is>
      </c>
      <c r="G52" s="27" t="n">
        <v>1</v>
      </c>
      <c r="H52" s="27" t="n">
        <v>1</v>
      </c>
      <c r="I52" s="27" t="n">
        <v>1</v>
      </c>
      <c r="J52" s="22" t="n">
        <v>25</v>
      </c>
      <c r="K52" s="22">
        <f>IF(OR(H52="",J52="",J52=0),"",H52*J52)</f>
        <v/>
      </c>
      <c r="L52" s="5" t="inlineStr">
        <is>
          <t>Home Depot</t>
        </is>
      </c>
      <c r="M52" s="5" t="inlineStr">
        <is>
          <t>Adapters/bushings pack</t>
        </is>
      </c>
      <c r="N52" s="5" t="inlineStr"/>
      <c r="O52" s="5" t="inlineStr">
        <is>
          <t>Confirmed</t>
        </is>
      </c>
      <c r="P52" s="5" t="inlineStr">
        <is>
          <t>medium</t>
        </is>
      </c>
      <c r="Q52" s="5" t="inlineStr">
        <is>
          <t>Stubs, male adapters, bell ends | Ціна збір: 2026-05-28</t>
        </is>
      </c>
    </row>
    <row r="53">
      <c r="A53" s="5" t="n">
        <v>49</v>
      </c>
      <c r="B53" s="5" t="inlineStr">
        <is>
          <t>Site / Trenching</t>
        </is>
      </c>
      <c r="C53" s="5" t="inlineStr">
        <is>
          <t>Site Prep</t>
        </is>
      </c>
      <c r="D53" s="5" t="inlineStr">
        <is>
          <t>Marking Paint / Stakes / String Line</t>
        </is>
      </c>
      <c r="E53" s="5" t="inlineStr">
        <is>
          <t>Для trench layout всіх 3 утилит</t>
        </is>
      </c>
      <c r="F53" s="5" t="inlineStr">
        <is>
          <t>set</t>
        </is>
      </c>
      <c r="G53" s="27" t="n">
        <v>1</v>
      </c>
      <c r="H53" s="27" t="n">
        <v>1</v>
      </c>
      <c r="I53" s="27" t="n">
        <v>1</v>
      </c>
      <c r="J53" s="22" t="n">
        <v>30</v>
      </c>
      <c r="K53" s="22">
        <f>IF(OR(H53="",J53="",J53=0),"",H53*J53)</f>
        <v/>
      </c>
      <c r="L53" s="5" t="inlineStr">
        <is>
          <t>Home Depot</t>
        </is>
      </c>
      <c r="M53" s="5" t="inlineStr">
        <is>
          <t>Generic marking paint / stakes / string set</t>
        </is>
      </c>
      <c r="N53" s="5" t="inlineStr"/>
      <c r="O53" s="5" t="inlineStr">
        <is>
          <t>Confirmed</t>
        </is>
      </c>
      <c r="P53" s="5" t="inlineStr">
        <is>
          <t>medium</t>
        </is>
      </c>
      <c r="Q53" s="5" t="inlineStr">
        <is>
          <t>ДОДАНО (review): layout aids | ДОДАНО: trench layout aids | Ціна збір: 2026-05-28</t>
        </is>
      </c>
    </row>
    <row r="55">
      <c r="A55" s="8" t="n"/>
      <c r="B55" s="8" t="n"/>
      <c r="C55" s="9" t="inlineStr">
        <is>
          <t>ПІДСУМОК ФАЗИ</t>
        </is>
      </c>
      <c r="D55" s="8" t="n"/>
      <c r="E55" s="8" t="n"/>
      <c r="F55" s="8" t="n"/>
      <c r="G55" s="8" t="n"/>
      <c r="H55" s="8" t="n"/>
      <c r="I55" s="8" t="n"/>
      <c r="J55" s="8" t="n"/>
      <c r="K55" s="24">
        <f>SUM(K5:K53)</f>
        <v/>
      </c>
      <c r="L55" s="8" t="n"/>
      <c r="M55" s="8" t="n"/>
      <c r="N55" s="8" t="n"/>
      <c r="O55" s="8" t="n"/>
      <c r="P55" s="8" t="n"/>
      <c r="Q55" s="8" t="n"/>
    </row>
  </sheetData>
  <autoFilter ref="A4:Q53"/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2 — Raised Floor System (§17)</t>
        </is>
      </c>
    </row>
    <row r="2" ht="18" customHeight="1">
      <c r="A2" s="3" t="inlineStr">
        <is>
          <t>Vapor barrier + sleepers + joists + subfloor (10")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Floor System</t>
        </is>
      </c>
      <c r="C5" s="5" t="inlineStr">
        <is>
          <t>Moisture Control</t>
        </is>
      </c>
      <c r="D5" s="5" t="inlineStr">
        <is>
          <t>Vapor / Moisture Barrier</t>
        </is>
      </c>
      <c r="E5" s="5" t="inlineStr">
        <is>
          <t>6-mil poly</t>
        </is>
      </c>
      <c r="F5" s="5" t="inlineStr">
        <is>
          <t>sq ft</t>
        </is>
      </c>
      <c r="G5" s="27" t="n">
        <v>315</v>
      </c>
      <c r="H5" s="27" t="n">
        <v>350</v>
      </c>
      <c r="I5" s="27" t="n">
        <v>380</v>
      </c>
      <c r="J5" s="22" t="n">
        <v>0.1</v>
      </c>
      <c r="K5" s="22">
        <f>IF(OR(H5="",J5="",J5=0),"",H5*J5)</f>
        <v/>
      </c>
      <c r="L5" s="5" t="inlineStr">
        <is>
          <t>Home Depot</t>
        </is>
      </c>
      <c r="M5" s="5" t="inlineStr">
        <is>
          <t>Husky / generic 6-mil poly</t>
        </is>
      </c>
      <c r="N5" s="5" t="inlineStr"/>
      <c r="O5" s="5" t="inlineStr">
        <is>
          <t>Confirmed</t>
        </is>
      </c>
      <c r="P5" s="5" t="inlineStr">
        <is>
          <t>medium</t>
        </is>
      </c>
      <c r="Q5" s="5" t="inlineStr">
        <is>
          <t>10" raised over slab | $0.10/sf. 10x100 roll ~$80-100 | Ціна збір: 2026-05-28</t>
        </is>
      </c>
    </row>
    <row r="6">
      <c r="A6" s="5" t="n">
        <v>2</v>
      </c>
      <c r="B6" s="5" t="inlineStr">
        <is>
          <t>Floor System</t>
        </is>
      </c>
      <c r="C6" s="5" t="inlineStr">
        <is>
          <t>Lumber</t>
        </is>
      </c>
      <c r="D6" s="5" t="inlineStr">
        <is>
          <t>Pressure-treated Sleepers</t>
        </is>
      </c>
      <c r="E6" s="5" t="inlineStr">
        <is>
          <t>2x4 PT laid flat as bearing</t>
        </is>
      </c>
      <c r="F6" s="5" t="inlineStr">
        <is>
          <t>linear ft</t>
        </is>
      </c>
      <c r="G6" s="27" t="n">
        <v>200</v>
      </c>
      <c r="H6" s="27" t="n">
        <v>260</v>
      </c>
      <c r="I6" s="27" t="n">
        <v>320</v>
      </c>
      <c r="J6" s="22" t="n">
        <v>0.95</v>
      </c>
      <c r="K6" s="22">
        <f>IF(OR(H6="",J6="",J6=0),"",H6*J6)</f>
        <v/>
      </c>
      <c r="L6" s="5" t="inlineStr">
        <is>
          <t>Home Depot</t>
        </is>
      </c>
      <c r="M6" s="5" t="inlineStr">
        <is>
          <t>2x4 PT SPF/SYP</t>
        </is>
      </c>
      <c r="N6" s="5" t="inlineStr"/>
      <c r="O6" s="5" t="inlineStr">
        <is>
          <t>Confirmed</t>
        </is>
      </c>
      <c r="P6" s="5" t="inlineStr">
        <is>
          <t>medium</t>
        </is>
      </c>
      <c r="Q6" s="5" t="inlineStr">
        <is>
          <t>Bearing surface для joists на slab | PT для bearing на slab. 8ft ~$7-8 | Ціна збір: 2026-05-28</t>
        </is>
      </c>
    </row>
    <row r="7">
      <c r="A7" s="5" t="n">
        <v>3</v>
      </c>
      <c r="B7" s="5" t="inlineStr">
        <is>
          <t>Floor System</t>
        </is>
      </c>
      <c r="C7" s="5" t="inlineStr">
        <is>
          <t>Lumber</t>
        </is>
      </c>
      <c r="D7" s="5" t="inlineStr">
        <is>
          <t>Floor Joists</t>
        </is>
      </c>
      <c r="E7" s="5" t="inlineStr">
        <is>
          <t>2x10 SPF/HF @ 16" OC, 15 ft span</t>
        </is>
      </c>
      <c r="F7" s="5" t="inlineStr">
        <is>
          <t>linear ft</t>
        </is>
      </c>
      <c r="G7" s="27" t="n">
        <v>240</v>
      </c>
      <c r="H7" s="27" t="n">
        <v>280</v>
      </c>
      <c r="I7" s="27" t="n">
        <v>340</v>
      </c>
      <c r="J7" s="22" t="n">
        <v>1.85</v>
      </c>
      <c r="K7" s="22">
        <f>IF(OR(H7="",J7="",J7=0),"",H7*J7)</f>
        <v/>
      </c>
      <c r="L7" s="5" t="inlineStr">
        <is>
          <t>Home Depot</t>
        </is>
      </c>
      <c r="M7" s="5" t="inlineStr">
        <is>
          <t>2x10 #2 SPF/HF 16 ft</t>
        </is>
      </c>
      <c r="N7" s="5" t="inlineStr">
        <is>
          <t>https://www.homedepot.com/p/2-in-x-10-in-x-16-ft-2-Premium-Grade-SPF-Dimensional-Lumber-201673/100016326</t>
        </is>
      </c>
      <c r="O7" s="5" t="inlineStr">
        <is>
          <t>Confirmed</t>
        </is>
      </c>
      <c r="P7" s="5" t="inlineStr">
        <is>
          <t>high</t>
        </is>
      </c>
      <c r="Q7" s="5" t="inlineStr">
        <is>
          <t>Final joist size/span to be verified by contractor/engineer based on actual support layout | $1.85/LF. SPF 2x10 16ft ~$30/piece (Doug Fir ~$36.63/piece ref). | Ціна збір: 2026-05-28</t>
        </is>
      </c>
    </row>
    <row r="8">
      <c r="A8" s="5" t="n">
        <v>4</v>
      </c>
      <c r="B8" s="5" t="inlineStr">
        <is>
          <t>Floor System</t>
        </is>
      </c>
      <c r="C8" s="5" t="inlineStr">
        <is>
          <t>Lumber</t>
        </is>
      </c>
      <c r="D8" s="5" t="inlineStr">
        <is>
          <t>Rim Joists</t>
        </is>
      </c>
      <c r="E8" s="5" t="inlineStr">
        <is>
          <t>2x10 PT за perimeter</t>
        </is>
      </c>
      <c r="F8" s="5" t="inlineStr">
        <is>
          <t>linear ft</t>
        </is>
      </c>
      <c r="G8" s="27" t="n">
        <v>60</v>
      </c>
      <c r="H8" s="27" t="n">
        <v>72</v>
      </c>
      <c r="I8" s="27" t="n">
        <v>80</v>
      </c>
      <c r="J8" s="22" t="n">
        <v>2.2</v>
      </c>
      <c r="K8" s="22">
        <f>IF(OR(H8="",J8="",J8=0),"",H8*J8)</f>
        <v/>
      </c>
      <c r="L8" s="5" t="inlineStr">
        <is>
          <t>Home Depot</t>
        </is>
      </c>
      <c r="M8" s="5" t="inlineStr">
        <is>
          <t>2x10 PT for perimeter</t>
        </is>
      </c>
      <c r="N8" s="5" t="inlineStr"/>
      <c r="O8" s="5" t="inlineStr">
        <is>
          <t>Confirmed</t>
        </is>
      </c>
      <c r="P8" s="5" t="inlineStr">
        <is>
          <t>medium</t>
        </is>
      </c>
      <c r="Q8" s="5" t="inlineStr">
        <is>
          <t>PT lumber required where wood contacts concrete or moisture-prone areas | PT для rim on concrete contact | Ціна збір: 2026-05-28</t>
        </is>
      </c>
    </row>
    <row r="9">
      <c r="A9" s="5" t="n">
        <v>5</v>
      </c>
      <c r="B9" s="5" t="inlineStr">
        <is>
          <t>Floor System</t>
        </is>
      </c>
      <c r="C9" s="5" t="inlineStr">
        <is>
          <t>Lumber</t>
        </is>
      </c>
      <c r="D9" s="5" t="inlineStr">
        <is>
          <t>Blocking</t>
        </is>
      </c>
      <c r="E9" s="5" t="inlineStr">
        <is>
          <t>2x10 mid-span</t>
        </is>
      </c>
      <c r="F9" s="5" t="inlineStr">
        <is>
          <t>linear ft</t>
        </is>
      </c>
      <c r="G9" s="27" t="n">
        <v>30</v>
      </c>
      <c r="H9" s="27" t="n">
        <v>50</v>
      </c>
      <c r="I9" s="27" t="n">
        <v>70</v>
      </c>
      <c r="J9" s="22" t="n">
        <v>1.85</v>
      </c>
      <c r="K9" s="22">
        <f>IF(OR(H9="",J9="",J9=0),"",H9*J9)</f>
        <v/>
      </c>
      <c r="L9" s="5" t="inlineStr">
        <is>
          <t>Home Depot</t>
        </is>
      </c>
      <c r="M9" s="5" t="inlineStr">
        <is>
          <t>2x10 SPF blocking</t>
        </is>
      </c>
      <c r="N9" s="5" t="inlineStr"/>
      <c r="O9" s="5" t="inlineStr">
        <is>
          <t>Confirmed</t>
        </is>
      </c>
      <c r="P9" s="5" t="inlineStr">
        <is>
          <t>medium</t>
        </is>
      </c>
      <c r="Q9" s="5" t="inlineStr">
        <is>
          <t>Same as joists | Ціна збір: 2026-05-28</t>
        </is>
      </c>
    </row>
    <row r="10">
      <c r="A10" s="5" t="n">
        <v>6</v>
      </c>
      <c r="B10" s="5" t="inlineStr">
        <is>
          <t>Floor System</t>
        </is>
      </c>
      <c r="C10" s="5" t="inlineStr">
        <is>
          <t>Hardware</t>
        </is>
      </c>
      <c r="D10" s="5" t="inlineStr">
        <is>
          <t>Joist Hangers / Connectors</t>
        </is>
      </c>
      <c r="E10" s="5" t="inlineStr">
        <is>
          <t>Simpson LUS210</t>
        </is>
      </c>
      <c r="F10" s="5" t="inlineStr">
        <is>
          <t>pcs</t>
        </is>
      </c>
      <c r="G10" s="27" t="n">
        <v>30</v>
      </c>
      <c r="H10" s="27" t="n">
        <v>50</v>
      </c>
      <c r="I10" s="27" t="n">
        <v>70</v>
      </c>
      <c r="J10" s="22" t="n">
        <v>4</v>
      </c>
      <c r="K10" s="22">
        <f>IF(OR(H10="",J10="",J10=0),"",H10*J10)</f>
        <v/>
      </c>
      <c r="L10" s="5" t="inlineStr">
        <is>
          <t>Home Depot</t>
        </is>
      </c>
      <c r="M10" s="5" t="inlineStr">
        <is>
          <t>Simpson LUS210</t>
        </is>
      </c>
      <c r="N10" s="5" t="inlineStr"/>
      <c r="O10" s="5" t="inlineStr">
        <is>
          <t>Confirmed</t>
        </is>
      </c>
      <c r="P10" s="5" t="inlineStr">
        <is>
          <t>medium</t>
        </is>
      </c>
      <c r="Q10" s="5" t="inlineStr">
        <is>
          <t>Joist hanger for 2x10. $3.50-4.50 each | Ціна збір: 2026-05-28</t>
        </is>
      </c>
    </row>
    <row r="11">
      <c r="A11" s="5" t="n">
        <v>7</v>
      </c>
      <c r="B11" s="5" t="inlineStr">
        <is>
          <t>Floor System</t>
        </is>
      </c>
      <c r="C11" s="5" t="inlineStr">
        <is>
          <t>Hardware</t>
        </is>
      </c>
      <c r="D11" s="5" t="inlineStr">
        <is>
          <t>Concrete Anchors (PT to slab)</t>
        </is>
      </c>
      <c r="E11" s="5" t="inlineStr">
        <is>
          <t>Wedge / Tapcon 1/2"</t>
        </is>
      </c>
      <c r="F11" s="5" t="inlineStr">
        <is>
          <t>pcs</t>
        </is>
      </c>
      <c r="G11" s="27" t="n">
        <v>40</v>
      </c>
      <c r="H11" s="27" t="n">
        <v>60</v>
      </c>
      <c r="I11" s="27" t="n">
        <v>80</v>
      </c>
      <c r="J11" s="22" t="n">
        <v>1.5</v>
      </c>
      <c r="K11" s="22">
        <f>IF(OR(H11="",J11="",J11=0),"",H11*J11)</f>
        <v/>
      </c>
      <c r="L11" s="5" t="inlineStr">
        <is>
          <t>Home Depot</t>
        </is>
      </c>
      <c r="M11" s="5" t="inlineStr">
        <is>
          <t>Tapcon 1/2" wedge</t>
        </is>
      </c>
      <c r="N11" s="5" t="inlineStr"/>
      <c r="O11" s="5" t="inlineStr">
        <is>
          <t>Confirmed</t>
        </is>
      </c>
      <c r="P11" s="5" t="inlineStr">
        <is>
          <t>medium</t>
        </is>
      </c>
      <c r="Q11" s="5" t="inlineStr">
        <is>
          <t>Concrete anchor PT to slab | Ціна збір: 2026-05-28</t>
        </is>
      </c>
    </row>
    <row r="12">
      <c r="A12" s="5" t="n">
        <v>8</v>
      </c>
      <c r="B12" s="5" t="inlineStr">
        <is>
          <t>Floor System</t>
        </is>
      </c>
      <c r="C12" s="5" t="inlineStr">
        <is>
          <t>Insulation (floor)</t>
        </is>
      </c>
      <c r="D12" s="5" t="inlineStr">
        <is>
          <t>Insulation R-30 batt or Rigid</t>
        </is>
      </c>
      <c r="E12" s="5" t="inlineStr">
        <is>
          <t>Batt R-30 between joists</t>
        </is>
      </c>
      <c r="F12" s="5" t="inlineStr">
        <is>
          <t>sq ft</t>
        </is>
      </c>
      <c r="G12" s="27" t="n">
        <v>315</v>
      </c>
      <c r="H12" s="27" t="n">
        <v>330</v>
      </c>
      <c r="I12" s="27" t="n">
        <v>350</v>
      </c>
      <c r="J12" s="22" t="n">
        <v>1.61</v>
      </c>
      <c r="K12" s="22">
        <f>IF(OR(H12="",J12="",J12=0),"",H12*J12)</f>
        <v/>
      </c>
      <c r="L12" s="5" t="inlineStr">
        <is>
          <t>Home Depot</t>
        </is>
      </c>
      <c r="M12" s="5" t="inlineStr">
        <is>
          <t>Owens Corning R-30 EcoTouch 16" OC unfaced</t>
        </is>
      </c>
      <c r="N12" s="5" t="inlineStr">
        <is>
          <t>https://www.homedepot.com/p/Owens-Corning-R-30-EcoTouch-PINK-Unfaced-Fiberglass-Insulation-Batt-16-in-x-48-in-BU74/300147480</t>
        </is>
      </c>
      <c r="O12" s="5" t="inlineStr">
        <is>
          <t>Confirmed</t>
        </is>
      </c>
      <c r="P12" s="5" t="inlineStr">
        <is>
          <t>high</t>
        </is>
      </c>
      <c r="Q12" s="5" t="inlineStr">
        <is>
          <t>Verify floor insulation type: batt vs rigid foam depending on moisture and floor assembly | $1.61/sf. R-30 unfaced 16x48. CA Title 24 compliant | Ціна збір: 2026-05-28</t>
        </is>
      </c>
    </row>
    <row r="13">
      <c r="A13" s="5" t="n">
        <v>9</v>
      </c>
      <c r="B13" s="5" t="inlineStr">
        <is>
          <t>Floor System</t>
        </is>
      </c>
      <c r="C13" s="5" t="inlineStr">
        <is>
          <t>Subfloor</t>
        </is>
      </c>
      <c r="D13" s="5" t="inlineStr">
        <is>
          <t>Plywood Subfloor</t>
        </is>
      </c>
      <c r="E13" s="5" t="inlineStr">
        <is>
          <t>3/4" T&amp;G CDX</t>
        </is>
      </c>
      <c r="F13" s="5" t="inlineStr">
        <is>
          <t>sq ft</t>
        </is>
      </c>
      <c r="G13" s="27" t="n">
        <v>315</v>
      </c>
      <c r="H13" s="27" t="n">
        <v>350</v>
      </c>
      <c r="I13" s="27" t="n">
        <v>380</v>
      </c>
      <c r="J13" s="22" t="n">
        <v>1.35</v>
      </c>
      <c r="K13" s="22">
        <f>IF(OR(H13="",J13="",J13=0),"",H13*J13)</f>
        <v/>
      </c>
      <c r="L13" s="5" t="inlineStr">
        <is>
          <t>Home Depot</t>
        </is>
      </c>
      <c r="M13" s="5" t="inlineStr">
        <is>
          <t>CDX 3/4" T&amp;G plywood</t>
        </is>
      </c>
      <c r="N13" s="5" t="inlineStr">
        <is>
          <t>https://www.homedepot.com/p/3-4-in-x-4-ft-x-8-ft-CDX-Pine-Plywood-1060/202088096</t>
        </is>
      </c>
      <c r="O13" s="5" t="inlineStr">
        <is>
          <t>Confirmed</t>
        </is>
      </c>
      <c r="P13" s="5" t="inlineStr">
        <is>
          <t>high</t>
        </is>
      </c>
      <c r="Q13" s="5" t="inlineStr">
        <is>
          <t>$1.35/sf. 4x8 = $43/sheet (LENCO ref $44.95) | Ціна збір: 2026-05-28</t>
        </is>
      </c>
    </row>
    <row r="14">
      <c r="A14" s="5" t="n">
        <v>10</v>
      </c>
      <c r="B14" s="5" t="inlineStr">
        <is>
          <t>Floor System</t>
        </is>
      </c>
      <c r="C14" s="5" t="inlineStr">
        <is>
          <t>Adhesives/Fasteners</t>
        </is>
      </c>
      <c r="D14" s="5" t="inlineStr">
        <is>
          <t>Construction Adhesive</t>
        </is>
      </c>
      <c r="E14" s="5" t="inlineStr">
        <is>
          <t>PL Premium subfloor</t>
        </is>
      </c>
      <c r="F14" s="5" t="inlineStr">
        <is>
          <t>tubes</t>
        </is>
      </c>
      <c r="G14" s="27" t="n">
        <v>6</v>
      </c>
      <c r="H14" s="27" t="n">
        <v>10</v>
      </c>
      <c r="I14" s="27" t="n">
        <v>14</v>
      </c>
      <c r="J14" s="22" t="n">
        <v>10</v>
      </c>
      <c r="K14" s="22">
        <f>IF(OR(H14="",J14="",J14=0),"",H14*J14)</f>
        <v/>
      </c>
      <c r="L14" s="5" t="inlineStr">
        <is>
          <t>Home Depot</t>
        </is>
      </c>
      <c r="M14" s="5" t="inlineStr">
        <is>
          <t>Loctite PL Premium 10oz</t>
        </is>
      </c>
      <c r="N14" s="5" t="inlineStr"/>
      <c r="O14" s="5" t="inlineStr">
        <is>
          <t>Confirmed</t>
        </is>
      </c>
      <c r="P14" s="5" t="inlineStr">
        <is>
          <t>medium</t>
        </is>
      </c>
      <c r="Q14" s="5" t="inlineStr">
        <is>
          <t>Subfloor adhesive | Ціна збір: 2026-05-28</t>
        </is>
      </c>
    </row>
    <row r="15">
      <c r="A15" s="5" t="n">
        <v>11</v>
      </c>
      <c r="B15" s="5" t="inlineStr">
        <is>
          <t>Floor System</t>
        </is>
      </c>
      <c r="C15" s="5" t="inlineStr">
        <is>
          <t>Adhesives/Fasteners</t>
        </is>
      </c>
      <c r="D15" s="5" t="inlineStr">
        <is>
          <t>Subfloor Screws</t>
        </is>
      </c>
      <c r="E15" s="5" t="inlineStr">
        <is>
          <t>3" #8 deck/subfloor</t>
        </is>
      </c>
      <c r="F15" s="5" t="inlineStr">
        <is>
          <t>lb</t>
        </is>
      </c>
      <c r="G15" s="27" t="n">
        <v>5</v>
      </c>
      <c r="H15" s="27" t="n">
        <v>8</v>
      </c>
      <c r="I15" s="27" t="n">
        <v>12</v>
      </c>
      <c r="J15" s="22" t="n">
        <v>6</v>
      </c>
      <c r="K15" s="22">
        <f>IF(OR(H15="",J15="",J15=0),"",H15*J15)</f>
        <v/>
      </c>
      <c r="L15" s="5" t="inlineStr">
        <is>
          <t>Home Depot</t>
        </is>
      </c>
      <c r="M15" s="5" t="inlineStr">
        <is>
          <t>GRK / generic 3" #8</t>
        </is>
      </c>
      <c r="N15" s="5" t="inlineStr"/>
      <c r="O15" s="5" t="inlineStr">
        <is>
          <t>Confirmed</t>
        </is>
      </c>
      <c r="P15" s="5" t="inlineStr">
        <is>
          <t>medium</t>
        </is>
      </c>
      <c r="Q15" s="5" t="inlineStr">
        <is>
          <t>Часто продаються в 5 lb або 10 lb boxes | Subfloor deck screws per lb. 5 lb box ~$30 | Ціна збір: 2026-05-28</t>
        </is>
      </c>
    </row>
    <row r="16">
      <c r="A16" s="5" t="n">
        <v>12</v>
      </c>
      <c r="B16" s="5" t="inlineStr">
        <is>
          <t>Floor System</t>
        </is>
      </c>
      <c r="C16" s="5" t="inlineStr">
        <is>
          <t>Sealants</t>
        </is>
      </c>
      <c r="D16" s="5" t="inlineStr">
        <is>
          <t>Foam Sealant / Caulk</t>
        </is>
      </c>
      <c r="E16" s="5" t="inlineStr">
        <is>
          <t>Air gap sealing</t>
        </is>
      </c>
      <c r="F16" s="5" t="inlineStr">
        <is>
          <t>cans</t>
        </is>
      </c>
      <c r="G16" s="27" t="n">
        <v>3</v>
      </c>
      <c r="H16" s="27" t="n">
        <v>5</v>
      </c>
      <c r="I16" s="27" t="n">
        <v>7</v>
      </c>
      <c r="J16" s="22" t="n">
        <v>6</v>
      </c>
      <c r="K16" s="22">
        <f>IF(OR(H16="",J16="",J16=0),"",H16*J16)</f>
        <v/>
      </c>
      <c r="L16" s="5" t="inlineStr">
        <is>
          <t>Home Depot</t>
        </is>
      </c>
      <c r="M16" s="5" t="inlineStr">
        <is>
          <t>Great Stuff window/door</t>
        </is>
      </c>
      <c r="N16" s="5" t="inlineStr"/>
      <c r="O16" s="5" t="inlineStr">
        <is>
          <t>Confirmed</t>
        </is>
      </c>
      <c r="P16" s="5" t="inlineStr">
        <is>
          <t>medium</t>
        </is>
      </c>
      <c r="Q16" s="5" t="inlineStr">
        <is>
          <t>Foam sealant | Ціна збір: 2026-05-28</t>
        </is>
      </c>
    </row>
    <row r="17">
      <c r="A17" s="5" t="n">
        <v>13</v>
      </c>
      <c r="B17" s="5" t="inlineStr">
        <is>
          <t>Floor System</t>
        </is>
      </c>
      <c r="C17" s="5" t="inlineStr">
        <is>
          <t>Transitions</t>
        </is>
      </c>
      <c r="D17" s="5" t="inlineStr">
        <is>
          <t>Thresholds &amp; Transitions</t>
        </is>
      </c>
      <c r="E17" s="5" t="inlineStr">
        <is>
          <t>Entry, French door, bathroom, exterior step</t>
        </is>
      </c>
      <c r="F17" s="5" t="inlineStr">
        <is>
          <t>pcs</t>
        </is>
      </c>
      <c r="G17" s="27" t="n">
        <v>3</v>
      </c>
      <c r="H17" s="27" t="n">
        <v>4</v>
      </c>
      <c r="I17" s="27" t="n">
        <v>5</v>
      </c>
      <c r="J17" s="22" t="n">
        <v>25</v>
      </c>
      <c r="K17" s="22">
        <f>IF(OR(H17="",J17="",J17=0),"",H17*J17)</f>
        <v/>
      </c>
      <c r="L17" s="5" t="inlineStr">
        <is>
          <t>Home Depot</t>
        </is>
      </c>
      <c r="M17" s="5" t="inlineStr">
        <is>
          <t>Generic aluminum threshold 36"</t>
        </is>
      </c>
      <c r="N17" s="5" t="inlineStr"/>
      <c r="O17" s="5" t="inlineStr">
        <is>
          <t>TBD</t>
        </is>
      </c>
      <c r="P17" s="5" t="inlineStr">
        <is>
          <t>medium</t>
        </is>
      </c>
      <c r="Q17" s="5" t="inlineStr">
        <is>
          <t>§17.4. Не дублювати з Phase 12 (decorative transitions only) | Entry, French door, bathroom, exterior step | Ціна збір: 2026-05-28</t>
        </is>
      </c>
    </row>
    <row r="18">
      <c r="A18" s="5" t="n">
        <v>14</v>
      </c>
      <c r="B18" s="5" t="inlineStr">
        <is>
          <t>Floor System</t>
        </is>
      </c>
      <c r="C18" s="5" t="inlineStr">
        <is>
          <t>Sealing</t>
        </is>
      </c>
      <c r="D18" s="5" t="inlineStr">
        <is>
          <t>Sill Seal Foam Gasket</t>
        </is>
      </c>
      <c r="E18" s="5" t="inlineStr">
        <is>
          <t>1x50 ft roll, між PT і slab</t>
        </is>
      </c>
      <c r="F18" s="5" t="inlineStr">
        <is>
          <t>rolls</t>
        </is>
      </c>
      <c r="G18" s="27" t="n">
        <v>1</v>
      </c>
      <c r="H18" s="27" t="n">
        <v>2</v>
      </c>
      <c r="I18" s="27" t="n">
        <v>3</v>
      </c>
      <c r="J18" s="22" t="n">
        <v>12</v>
      </c>
      <c r="K18" s="22">
        <f>IF(OR(H18="",J18="",J18=0),"",H18*J18)</f>
        <v/>
      </c>
      <c r="L18" s="5" t="inlineStr">
        <is>
          <t>Home Depot</t>
        </is>
      </c>
      <c r="M18" s="5" t="inlineStr">
        <is>
          <t>Owens Corning / TVM sill seal 1x50</t>
        </is>
      </c>
      <c r="N18" s="5" t="inlineStr"/>
      <c r="O18" s="5" t="inlineStr">
        <is>
          <t>Confirmed</t>
        </is>
      </c>
      <c r="P18" s="5" t="inlineStr">
        <is>
          <t>medium</t>
        </is>
      </c>
      <c r="Q18" s="5" t="inlineStr">
        <is>
          <t>Air sealing | ДОДАНО: foam gasket між PT і slab | Ціна збір: 2026-05-28</t>
        </is>
      </c>
    </row>
    <row r="19">
      <c r="A19" s="5" t="n">
        <v>15</v>
      </c>
      <c r="B19" s="5" t="inlineStr">
        <is>
          <t>Floor System</t>
        </is>
      </c>
      <c r="C19" s="5" t="inlineStr">
        <is>
          <t>Slab Prep</t>
        </is>
      </c>
      <c r="D19" s="5" t="inlineStr">
        <is>
          <t>Self-leveling Compound</t>
        </is>
      </c>
      <c r="E19" s="5" t="inlineStr">
        <is>
          <t>Allowance only — partial leveling</t>
        </is>
      </c>
      <c r="F19" s="5" t="inlineStr">
        <is>
          <t>bags</t>
        </is>
      </c>
      <c r="G19" s="27" t="n">
        <v>0</v>
      </c>
      <c r="H19" s="27" t="n">
        <v>4</v>
      </c>
      <c r="I19" s="27" t="n">
        <v>10</v>
      </c>
      <c r="J19" s="22" t="n">
        <v>35</v>
      </c>
      <c r="K19" s="22">
        <f>IF(OR(H19="",J19="",J19=0),"",H19*J19)</f>
        <v/>
      </c>
      <c r="L19" s="5" t="inlineStr">
        <is>
          <t>Home Depot</t>
        </is>
      </c>
      <c r="M19" s="5" t="inlineStr">
        <is>
          <t>Mapei Planipatch 25 lb</t>
        </is>
      </c>
      <c r="N19" s="5" t="inlineStr"/>
      <c r="O19" s="5" t="inlineStr">
        <is>
          <t>TBD</t>
        </is>
      </c>
      <c r="P19" s="5" t="inlineStr">
        <is>
          <t>medium</t>
        </is>
      </c>
      <c r="Q19" s="5" t="inlineStr">
        <is>
          <t>§33.22. Якщо full leveling req'd — qty зростає significantly | ДОДАНО: $35/bag, ~25 sf @ 1/8". Партіальне выравнивание | Ціна збір: 2026-05-28</t>
        </is>
      </c>
    </row>
    <row r="20">
      <c r="A20" s="5" t="n">
        <v>16</v>
      </c>
      <c r="B20" s="5" t="inlineStr">
        <is>
          <t>Floor System</t>
        </is>
      </c>
      <c r="C20" s="5" t="inlineStr">
        <is>
          <t>Slab Prep</t>
        </is>
      </c>
      <c r="D20" s="5" t="inlineStr">
        <is>
          <t>Concrete Sealer / DryLok</t>
        </is>
      </c>
      <c r="E20" s="5" t="inlineStr">
        <is>
          <t>Optional moisture mitigation</t>
        </is>
      </c>
      <c r="F20" s="5" t="inlineStr">
        <is>
          <t>gal</t>
        </is>
      </c>
      <c r="G20" s="27" t="n">
        <v>0</v>
      </c>
      <c r="H20" s="27" t="n">
        <v>0</v>
      </c>
      <c r="I20" s="27" t="n">
        <v>5</v>
      </c>
      <c r="J20" s="22" t="n">
        <v>45</v>
      </c>
      <c r="K20" s="22">
        <f>IF(OR(H20="",J20="",J20=0),"",H20*J20)</f>
        <v/>
      </c>
      <c r="L20" s="5" t="inlineStr">
        <is>
          <t>Home Depot</t>
        </is>
      </c>
      <c r="M20" s="5" t="inlineStr">
        <is>
          <t>DryLok concrete sealer 5 gal</t>
        </is>
      </c>
      <c r="N20" s="5" t="inlineStr"/>
      <c r="O20" s="5" t="inlineStr">
        <is>
          <t>TBD</t>
        </is>
      </c>
      <c r="P20" s="5" t="inlineStr">
        <is>
          <t>medium</t>
        </is>
      </c>
      <c r="Q20" s="5" t="inlineStr">
        <is>
          <t>§33.23 verify moisture conditions. Baseline 0 | ДОДАНО: $45/gal, baseline qty=0 — only if §33.23 moisture issue | Ціна збір: 2026-05-28</t>
        </is>
      </c>
    </row>
    <row r="21">
      <c r="A21" s="5" t="n">
        <v>17</v>
      </c>
      <c r="B21" s="5" t="inlineStr">
        <is>
          <t>Floor System</t>
        </is>
      </c>
      <c r="C21" s="5" t="inlineStr">
        <is>
          <t>Sealants</t>
        </is>
      </c>
      <c r="D21" s="5" t="inlineStr">
        <is>
          <t>Acoustical / Sound Caulk</t>
        </is>
      </c>
      <c r="E21" s="5" t="inlineStr">
        <is>
          <t>Floor joints sound dampening</t>
        </is>
      </c>
      <c r="F21" s="5" t="inlineStr">
        <is>
          <t>tubes</t>
        </is>
      </c>
      <c r="G21" s="27" t="n">
        <v>0</v>
      </c>
      <c r="H21" s="27" t="n">
        <v>3</v>
      </c>
      <c r="I21" s="27" t="n">
        <v>6</v>
      </c>
      <c r="J21" s="22" t="n">
        <v>12</v>
      </c>
      <c r="K21" s="22">
        <f>IF(OR(H21="",J21="",J21=0),"",H21*J21)</f>
        <v/>
      </c>
      <c r="L21" s="5" t="inlineStr">
        <is>
          <t>Home Depot</t>
        </is>
      </c>
      <c r="M21" s="5" t="inlineStr">
        <is>
          <t>OSI ProSeries acoustical 28oz</t>
        </is>
      </c>
      <c r="N21" s="5" t="inlineStr"/>
      <c r="O21" s="5" t="inlineStr">
        <is>
          <t>TBD</t>
        </is>
      </c>
      <c r="P21" s="5" t="inlineStr">
        <is>
          <t>medium</t>
        </is>
      </c>
      <c r="Q21" s="5" t="inlineStr">
        <is>
          <t>Optional | ДОДАНО: optional sound dampening | Ціна збір: 2026-05-28</t>
        </is>
      </c>
    </row>
    <row r="22">
      <c r="A22" s="5" t="n">
        <v>18</v>
      </c>
      <c r="B22" s="5" t="inlineStr">
        <is>
          <t>Floor System</t>
        </is>
      </c>
      <c r="C22" s="5" t="inlineStr">
        <is>
          <t>Moisture Control</t>
        </is>
      </c>
      <c r="D22" s="5" t="inlineStr">
        <is>
          <t>Vapor Barrier Seam Tape</t>
        </is>
      </c>
      <c r="E22" s="5" t="inlineStr">
        <is>
          <t>Для overlap joints poly</t>
        </is>
      </c>
      <c r="F22" s="5" t="inlineStr">
        <is>
          <t>rolls</t>
        </is>
      </c>
      <c r="G22" s="27" t="n">
        <v>1</v>
      </c>
      <c r="H22" s="27" t="n">
        <v>1</v>
      </c>
      <c r="I22" s="27" t="n">
        <v>2</v>
      </c>
      <c r="J22" s="22" t="n">
        <v>15</v>
      </c>
      <c r="K22" s="22">
        <f>IF(OR(H22="",J22="",J22=0),"",H22*J22)</f>
        <v/>
      </c>
      <c r="L22" s="5" t="inlineStr">
        <is>
          <t>Home Depot</t>
        </is>
      </c>
      <c r="M22" s="5" t="inlineStr">
        <is>
          <t>Stego seam tape / generic</t>
        </is>
      </c>
      <c r="N22" s="5" t="inlineStr"/>
      <c r="O22" s="5" t="inlineStr">
        <is>
          <t>Confirmed</t>
        </is>
      </c>
      <c r="P22" s="5" t="inlineStr">
        <is>
          <t>medium</t>
        </is>
      </c>
      <c r="Q22" s="5" t="inlineStr">
        <is>
          <t>ДОДАНО (review): Stego/generic seam tape | ДОДАНО: для overlap vapor barrier joints | Ціна збір: 2026-05-28</t>
        </is>
      </c>
    </row>
    <row r="23">
      <c r="A23" s="5" t="n">
        <v>19</v>
      </c>
      <c r="B23" s="5" t="inlineStr">
        <is>
          <t>Floor System</t>
        </is>
      </c>
      <c r="C23" s="5" t="inlineStr">
        <is>
          <t>Insulation (floor)</t>
        </is>
      </c>
      <c r="D23" s="5" t="inlineStr">
        <is>
          <t>Insulation Supports / Wire Supports</t>
        </is>
      </c>
      <c r="E23" s="5" t="inlineStr">
        <is>
          <t>Для утримання batt між joists</t>
        </is>
      </c>
      <c r="F23" s="5" t="inlineStr">
        <is>
          <t>pack</t>
        </is>
      </c>
      <c r="G23" s="27" t="n">
        <v>1</v>
      </c>
      <c r="H23" s="27" t="n">
        <v>2</v>
      </c>
      <c r="I23" s="27" t="n">
        <v>3</v>
      </c>
      <c r="J23" s="22" t="n">
        <v>9</v>
      </c>
      <c r="K23" s="22">
        <f>IF(OR(H23="",J23="",J23=0),"",H23*J23)</f>
        <v/>
      </c>
      <c r="L23" s="5" t="inlineStr">
        <is>
          <t>Home Depot</t>
        </is>
      </c>
      <c r="M23" s="5" t="inlineStr">
        <is>
          <t>Owens Corning insul support wires</t>
        </is>
      </c>
      <c r="N23" s="5" t="inlineStr"/>
      <c r="O23" s="5" t="inlineStr">
        <is>
          <t>Confirmed</t>
        </is>
      </c>
      <c r="P23" s="5" t="inlineStr">
        <is>
          <t>medium</t>
        </is>
      </c>
      <c r="Q23" s="5" t="inlineStr">
        <is>
          <t>ДОДАНО (review): тримає R-30 batt вгору | ДОДАНО: тримає R-30 batt між joists | Ціна збір: 2026-05-28</t>
        </is>
      </c>
    </row>
    <row r="24">
      <c r="A24" s="5" t="n">
        <v>20</v>
      </c>
      <c r="B24" s="5" t="inlineStr">
        <is>
          <t>Floor System</t>
        </is>
      </c>
      <c r="C24" s="5" t="inlineStr">
        <is>
          <t>Hardware</t>
        </is>
      </c>
      <c r="D24" s="5" t="inlineStr">
        <is>
          <t>Composite / Plastic Shims</t>
        </is>
      </c>
      <c r="E24" s="5" t="inlineStr">
        <is>
          <t>Для вирівнювання sleepers/joists</t>
        </is>
      </c>
      <c r="F24" s="5" t="inlineStr">
        <is>
          <t>pack</t>
        </is>
      </c>
      <c r="G24" s="27" t="n">
        <v>1</v>
      </c>
      <c r="H24" s="27" t="n">
        <v>2</v>
      </c>
      <c r="I24" s="27" t="n">
        <v>3</v>
      </c>
      <c r="J24" s="22" t="n">
        <v>10</v>
      </c>
      <c r="K24" s="22">
        <f>IF(OR(H24="",J24="",J24=0),"",H24*J24)</f>
        <v/>
      </c>
      <c r="L24" s="5" t="inlineStr">
        <is>
          <t>Home Depot</t>
        </is>
      </c>
      <c r="M24" s="5" t="inlineStr">
        <is>
          <t>Generic composite shims pack</t>
        </is>
      </c>
      <c r="N24" s="5" t="inlineStr"/>
      <c r="O24" s="5" t="inlineStr">
        <is>
          <t>Confirmed</t>
        </is>
      </c>
      <c r="P24" s="5" t="inlineStr">
        <is>
          <t>medium</t>
        </is>
      </c>
      <c r="Q24" s="5" t="inlineStr">
        <is>
          <t>ДОДАНО (review) | ДОДАНО: для leveling sleepers/joists | Ціна збір: 2026-05-28</t>
        </is>
      </c>
    </row>
    <row r="25">
      <c r="A25" s="5" t="n">
        <v>21</v>
      </c>
      <c r="B25" s="5" t="inlineStr">
        <is>
          <t>Floor System</t>
        </is>
      </c>
      <c r="C25" s="5" t="inlineStr">
        <is>
          <t>Hardware</t>
        </is>
      </c>
      <c r="D25" s="5" t="inlineStr">
        <is>
          <t>Structural Screws / Lag Screws</t>
        </is>
      </c>
      <c r="E25" s="5" t="inlineStr">
        <is>
          <t>SDS / Ledgerlok для rim-joist</t>
        </is>
      </c>
      <c r="F25" s="5" t="inlineStr">
        <is>
          <t>box</t>
        </is>
      </c>
      <c r="G25" s="27" t="n">
        <v>1</v>
      </c>
      <c r="H25" s="27" t="n">
        <v>1</v>
      </c>
      <c r="I25" s="27" t="n">
        <v>2</v>
      </c>
      <c r="J25" s="22" t="n">
        <v>25</v>
      </c>
      <c r="K25" s="22">
        <f>IF(OR(H25="",J25="",J25=0),"",H25*J25)</f>
        <v/>
      </c>
      <c r="L25" s="5" t="inlineStr">
        <is>
          <t>Home Depot</t>
        </is>
      </c>
      <c r="M25" s="5" t="inlineStr">
        <is>
          <t>Simpson SDS / Ledgerlok box</t>
        </is>
      </c>
      <c r="N25" s="5" t="inlineStr"/>
      <c r="O25" s="5" t="inlineStr">
        <is>
          <t>Confirmed</t>
        </is>
      </c>
      <c r="P25" s="5" t="inlineStr">
        <is>
          <t>medium</t>
        </is>
      </c>
      <c r="Q25" s="5" t="inlineStr">
        <is>
          <t>ДОДАНО (review): для connections without hangers | ДОДАНО: structural screws для rim-joist connections | Ціна збір: 2026-05-28</t>
        </is>
      </c>
    </row>
    <row r="26">
      <c r="A26" s="5" t="n">
        <v>22</v>
      </c>
      <c r="B26" s="5" t="inlineStr">
        <is>
          <t>Floor System</t>
        </is>
      </c>
      <c r="C26" s="5" t="inlineStr">
        <is>
          <t>Access / Utility</t>
        </is>
      </c>
      <c r="D26" s="5" t="inlineStr">
        <is>
          <t>Small Access Panel allowance</t>
        </is>
      </c>
      <c r="E26" s="5" t="inlineStr">
        <is>
          <t>12x12 PVC/металевий</t>
        </is>
      </c>
      <c r="F26" s="5" t="inlineStr">
        <is>
          <t>pcs</t>
        </is>
      </c>
      <c r="G26" s="27" t="n">
        <v>0</v>
      </c>
      <c r="H26" s="27" t="n">
        <v>1</v>
      </c>
      <c r="I26" s="27" t="n">
        <v>2</v>
      </c>
      <c r="J26" s="22" t="n">
        <v>22</v>
      </c>
      <c r="K26" s="22">
        <f>IF(OR(H26="",J26="",J26=0),"",H26*J26)</f>
        <v/>
      </c>
      <c r="L26" s="5" t="inlineStr">
        <is>
          <t>Home Depot</t>
        </is>
      </c>
      <c r="M26" s="5" t="inlineStr">
        <is>
          <t>Generic 12x12 PVC access panel</t>
        </is>
      </c>
      <c r="N26" s="5" t="inlineStr"/>
      <c r="O26" s="5" t="inlineStr">
        <is>
          <t>TBD</t>
        </is>
      </c>
      <c r="P26" s="5" t="inlineStr">
        <is>
          <t>medium</t>
        </is>
      </c>
      <c r="Q26" s="5" t="inlineStr">
        <is>
          <t>ДОДАНО (review): для доступу до MEP під підлогою | ДОДАНО: MEP access під raised floor | Ціна збір: 2026-05-28</t>
        </is>
      </c>
    </row>
    <row r="28">
      <c r="A28" s="8" t="n"/>
      <c r="B28" s="8" t="n"/>
      <c r="C28" s="9" t="inlineStr">
        <is>
          <t>ПІДСУМОК ФАЗИ</t>
        </is>
      </c>
      <c r="D28" s="8" t="n"/>
      <c r="E28" s="8" t="n"/>
      <c r="F28" s="8" t="n"/>
      <c r="G28" s="8" t="n"/>
      <c r="H28" s="8" t="n"/>
      <c r="I28" s="8" t="n"/>
      <c r="J28" s="8" t="n"/>
      <c r="K28" s="24">
        <f>SUM(K5:K26)</f>
        <v/>
      </c>
      <c r="L28" s="8" t="n"/>
      <c r="M28" s="8" t="n"/>
      <c r="N28" s="8" t="n"/>
      <c r="O28" s="8" t="n"/>
      <c r="P28" s="8" t="n"/>
      <c r="Q28" s="8" t="n"/>
    </row>
  </sheetData>
  <autoFilter ref="A4:Q26"/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3 — Framing (§18)</t>
        </is>
      </c>
    </row>
    <row r="2" ht="18" customHeight="1">
      <c r="A2" s="3" t="inlineStr">
        <is>
          <t>Left wall +21ft + interior partitions + headers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Framing</t>
        </is>
      </c>
      <c r="C5" s="5" t="inlineStr">
        <is>
          <t>Studs/Plates</t>
        </is>
      </c>
      <c r="D5" s="5" t="inlineStr">
        <is>
          <t>2x4 Studs (8 ft)</t>
        </is>
      </c>
      <c r="E5" s="5" t="inlineStr">
        <is>
          <t>SPF #2, wall framing</t>
        </is>
      </c>
      <c r="F5" s="5" t="inlineStr">
        <is>
          <t>pcs</t>
        </is>
      </c>
      <c r="G5" s="27" t="n">
        <v>75</v>
      </c>
      <c r="H5" s="27" t="n">
        <v>90</v>
      </c>
      <c r="I5" s="27" t="n">
        <v>110</v>
      </c>
      <c r="J5" s="22" t="n">
        <v>4.5</v>
      </c>
      <c r="K5" s="22">
        <f>IF(OR(H5="",J5="",J5=0),"",H5*J5)</f>
        <v/>
      </c>
      <c r="L5" s="5" t="inlineStr">
        <is>
          <t>Home Depot</t>
        </is>
      </c>
      <c r="M5" s="5" t="inlineStr">
        <is>
          <t>2x4 SPF #2 8ft</t>
        </is>
      </c>
      <c r="N5" s="5" t="inlineStr"/>
      <c r="O5" s="5" t="inlineStr">
        <is>
          <t>Confirmed</t>
        </is>
      </c>
      <c r="P5" s="5" t="inlineStr">
        <is>
          <t>medium</t>
        </is>
      </c>
      <c r="Q5" s="5" t="inlineStr">
        <is>
          <t>95-105 LF wall × 0.75 + 20-25% overhead. Включає left wall +21 LF + utility + openings | $4.50/each Bay Area premium. Menards ref $3.64 + ~25% CA | Ціна збір: 2026-05-28</t>
        </is>
      </c>
    </row>
    <row r="6">
      <c r="A6" s="5" t="n">
        <v>2</v>
      </c>
      <c r="B6" s="5" t="inlineStr">
        <is>
          <t>Framing</t>
        </is>
      </c>
      <c r="C6" s="5" t="inlineStr">
        <is>
          <t>Studs/Plates</t>
        </is>
      </c>
      <c r="D6" s="5" t="inlineStr">
        <is>
          <t>2x6 Studs (8 ft) — wet wall</t>
        </is>
      </c>
      <c r="E6" s="5" t="inlineStr">
        <is>
          <t>Для bathroom plumbing wall</t>
        </is>
      </c>
      <c r="F6" s="5" t="inlineStr">
        <is>
          <t>pcs</t>
        </is>
      </c>
      <c r="G6" s="27" t="n">
        <v>5</v>
      </c>
      <c r="H6" s="27" t="n">
        <v>8</v>
      </c>
      <c r="I6" s="27" t="n">
        <v>12</v>
      </c>
      <c r="J6" s="22" t="n">
        <v>7</v>
      </c>
      <c r="K6" s="22">
        <f>IF(OR(H6="",J6="",J6=0),"",H6*J6)</f>
        <v/>
      </c>
      <c r="L6" s="5" t="inlineStr">
        <is>
          <t>Home Depot</t>
        </is>
      </c>
      <c r="M6" s="5" t="inlineStr">
        <is>
          <t>2x6 SPF #2 8ft</t>
        </is>
      </c>
      <c r="N6" s="5" t="inlineStr"/>
      <c r="O6" s="5" t="inlineStr">
        <is>
          <t>TBD</t>
        </is>
      </c>
      <c r="P6" s="5" t="inlineStr">
        <is>
          <t>medium</t>
        </is>
      </c>
      <c r="Q6" s="5" t="inlineStr">
        <is>
          <t>Depends on final bathroom/laundry layout — wet wall behind shower/vanity/laundry | Wet wall studs — final per bathroom layout | Ціна збір: 2026-05-28</t>
        </is>
      </c>
    </row>
    <row r="7">
      <c r="A7" s="5" t="n">
        <v>3</v>
      </c>
      <c r="B7" s="5" t="inlineStr">
        <is>
          <t>Framing</t>
        </is>
      </c>
      <c r="C7" s="5" t="inlineStr">
        <is>
          <t>Studs/Plates</t>
        </is>
      </c>
      <c r="D7" s="5" t="inlineStr">
        <is>
          <t>Cripple / Jack / King Studs</t>
        </is>
      </c>
      <c r="E7" s="5" t="inlineStr">
        <is>
          <t>Allowance для openings</t>
        </is>
      </c>
      <c r="F7" s="5" t="inlineStr">
        <is>
          <t>pcs</t>
        </is>
      </c>
      <c r="G7" s="27" t="n">
        <v>15</v>
      </c>
      <c r="H7" s="27" t="n">
        <v>20</v>
      </c>
      <c r="I7" s="27" t="n">
        <v>28</v>
      </c>
      <c r="J7" s="22" t="n">
        <v>4.5</v>
      </c>
      <c r="K7" s="22">
        <f>IF(OR(H7="",J7="",J7=0),"",H7*J7)</f>
        <v/>
      </c>
      <c r="L7" s="5" t="inlineStr">
        <is>
          <t>Home Depot</t>
        </is>
      </c>
      <c r="M7" s="5" t="inlineStr">
        <is>
          <t>2x4 SPF #2 8ft (jack/king/cripple)</t>
        </is>
      </c>
      <c r="N7" s="5" t="inlineStr"/>
      <c r="O7" s="5" t="inlineStr">
        <is>
          <t>Confirmed</t>
        </is>
      </c>
      <c r="P7" s="5" t="inlineStr">
        <is>
          <t>medium</t>
        </is>
      </c>
      <c r="Q7" s="5" t="inlineStr">
        <is>
          <t>Для 12+ framed openings | Same as standard 2x4, allowance для openings | Ціна збір: 2026-05-28</t>
        </is>
      </c>
    </row>
    <row r="8">
      <c r="A8" s="5" t="n">
        <v>4</v>
      </c>
      <c r="B8" s="5" t="inlineStr">
        <is>
          <t>Framing</t>
        </is>
      </c>
      <c r="C8" s="5" t="inlineStr">
        <is>
          <t>Studs/Plates</t>
        </is>
      </c>
      <c r="D8" s="5" t="inlineStr">
        <is>
          <t>PT Bottom Plates</t>
        </is>
      </c>
      <c r="E8" s="5" t="inlineStr">
        <is>
          <t>Pressure-treated 2x4 — на subfloor edge</t>
        </is>
      </c>
      <c r="F8" s="5" t="inlineStr">
        <is>
          <t>linear ft</t>
        </is>
      </c>
      <c r="G8" s="27" t="n">
        <v>65</v>
      </c>
      <c r="H8" s="27" t="n">
        <v>75</v>
      </c>
      <c r="I8" s="27" t="n">
        <v>85</v>
      </c>
      <c r="J8" s="22" t="n">
        <v>0.95</v>
      </c>
      <c r="K8" s="22">
        <f>IF(OR(H8="",J8="",J8=0),"",H8*J8)</f>
        <v/>
      </c>
      <c r="L8" s="5" t="inlineStr">
        <is>
          <t>Home Depot</t>
        </is>
      </c>
      <c r="M8" s="5" t="inlineStr">
        <is>
          <t>2x4 PT</t>
        </is>
      </c>
      <c r="N8" s="5" t="inlineStr"/>
      <c r="O8" s="5" t="inlineStr">
        <is>
          <t>Confirmed</t>
        </is>
      </c>
      <c r="P8" s="5" t="inlineStr">
        <is>
          <t>medium</t>
        </is>
      </c>
      <c r="Q8" s="5" t="inlineStr">
        <is>
          <t>PT де lumber contacts moisture-prone area | PT bottom plate per LF | Ціна збір: 2026-05-28</t>
        </is>
      </c>
    </row>
    <row r="9">
      <c r="A9" s="5" t="n">
        <v>5</v>
      </c>
      <c r="B9" s="5" t="inlineStr">
        <is>
          <t>Framing</t>
        </is>
      </c>
      <c r="C9" s="5" t="inlineStr">
        <is>
          <t>Studs/Plates</t>
        </is>
      </c>
      <c r="D9" s="5" t="inlineStr">
        <is>
          <t>Top / Bottom Plates (regular)</t>
        </is>
      </c>
      <c r="E9" s="5" t="inlineStr">
        <is>
          <t>2x4 SPF (double top + bottom)</t>
        </is>
      </c>
      <c r="F9" s="5" t="inlineStr">
        <is>
          <t>linear ft</t>
        </is>
      </c>
      <c r="G9" s="27" t="n">
        <v>130</v>
      </c>
      <c r="H9" s="27" t="n">
        <v>150</v>
      </c>
      <c r="I9" s="27" t="n">
        <v>170</v>
      </c>
      <c r="J9" s="22" t="n">
        <v>0.5600000000000001</v>
      </c>
      <c r="K9" s="22">
        <f>IF(OR(H9="",J9="",J9=0),"",H9*J9)</f>
        <v/>
      </c>
      <c r="L9" s="5" t="inlineStr">
        <is>
          <t>Home Depot</t>
        </is>
      </c>
      <c r="M9" s="5" t="inlineStr">
        <is>
          <t>2x4 SPF #2</t>
        </is>
      </c>
      <c r="N9" s="5" t="inlineStr"/>
      <c r="O9" s="5" t="inlineStr">
        <is>
          <t>Confirmed</t>
        </is>
      </c>
      <c r="P9" s="5" t="inlineStr">
        <is>
          <t>medium</t>
        </is>
      </c>
      <c r="Q9" s="5" t="inlineStr">
        <is>
          <t>$0.56/LF ($4.50/8ft). Regular plate stock | Ціна збір: 2026-05-28</t>
        </is>
      </c>
    </row>
    <row r="10">
      <c r="A10" s="5" t="n">
        <v>6</v>
      </c>
      <c r="B10" s="5" t="inlineStr">
        <is>
          <t>Framing</t>
        </is>
      </c>
      <c r="C10" s="5" t="inlineStr">
        <is>
          <t>Headers</t>
        </is>
      </c>
      <c r="D10" s="5" t="inlineStr">
        <is>
          <t>Standard Headers (2x6)</t>
        </is>
      </c>
      <c r="E10" s="5" t="inlineStr">
        <is>
          <t>Above standard openings (windows, doors)</t>
        </is>
      </c>
      <c r="F10" s="5" t="inlineStr">
        <is>
          <t>linear ft</t>
        </is>
      </c>
      <c r="G10" s="27" t="n">
        <v>20</v>
      </c>
      <c r="H10" s="27" t="n">
        <v>30</v>
      </c>
      <c r="I10" s="27" t="n">
        <v>40</v>
      </c>
      <c r="J10" s="22" t="n">
        <v>0.88</v>
      </c>
      <c r="K10" s="22">
        <f>IF(OR(H10="",J10="",J10=0),"",H10*J10)</f>
        <v/>
      </c>
      <c r="L10" s="5" t="inlineStr">
        <is>
          <t>Home Depot</t>
        </is>
      </c>
      <c r="M10" s="5" t="inlineStr">
        <is>
          <t>2x6 SPF #2</t>
        </is>
      </c>
      <c r="N10" s="5" t="inlineStr"/>
      <c r="O10" s="5" t="inlineStr">
        <is>
          <t>Confirmed</t>
        </is>
      </c>
      <c r="P10" s="5" t="inlineStr">
        <is>
          <t>medium</t>
        </is>
      </c>
      <c r="Q10" s="5" t="inlineStr">
        <is>
          <t>Structural sizing — final per engineer | $0.88/LF ($7/8ft). Standard window/door headers | Ціна збір: 2026-05-28</t>
        </is>
      </c>
    </row>
    <row r="11">
      <c r="A11" s="5" t="n">
        <v>7</v>
      </c>
      <c r="B11" s="5" t="inlineStr">
        <is>
          <t>Framing</t>
        </is>
      </c>
      <c r="C11" s="5" t="inlineStr">
        <is>
          <t>Headers</t>
        </is>
      </c>
      <c r="D11" s="5" t="inlineStr">
        <is>
          <t>Engineered LVL Header</t>
        </is>
      </c>
      <c r="E11" s="5" t="inlineStr">
        <is>
          <t>Для French door (~6ft) + folding 8ft</t>
        </is>
      </c>
      <c r="F11" s="5" t="inlineStr">
        <is>
          <t>linear ft</t>
        </is>
      </c>
      <c r="G11" s="27" t="n">
        <v>12</v>
      </c>
      <c r="H11" s="27" t="n">
        <v>16</v>
      </c>
      <c r="I11" s="27" t="n">
        <v>20</v>
      </c>
      <c r="J11" s="22" t="n">
        <v>6</v>
      </c>
      <c r="K11" s="22">
        <f>IF(OR(H11="",J11="",J11=0),"",H11*J11)</f>
        <v/>
      </c>
      <c r="L11" s="5" t="inlineStr">
        <is>
          <t>Home Depot / specialty</t>
        </is>
      </c>
      <c r="M11" s="5" t="inlineStr">
        <is>
          <t>LVL 1.75x7.25 engineered</t>
        </is>
      </c>
      <c r="N11" s="5" t="inlineStr">
        <is>
          <t>https://www.homedepot.com/b/Lumber-Composites-Engineered-Wood-Products/LVL/N-5yc1vZcb73Z1z0xv6e</t>
        </is>
      </c>
      <c r="O11" s="5" t="inlineStr">
        <is>
          <t>TBD</t>
        </is>
      </c>
      <c r="P11" s="5" t="inlineStr">
        <is>
          <t>medium</t>
        </is>
      </c>
      <c r="Q11" s="5" t="inlineStr">
        <is>
          <t>Final size depends on opening width, load above, existing roof/wall structure | LVL header для French door + folding 8ft. Final size per engineer | Ціна збір: 2026-05-28</t>
        </is>
      </c>
    </row>
    <row r="12">
      <c r="A12" s="5" t="n">
        <v>8</v>
      </c>
      <c r="B12" s="5" t="inlineStr">
        <is>
          <t>Framing</t>
        </is>
      </c>
      <c r="C12" s="5" t="inlineStr">
        <is>
          <t>Blocking</t>
        </is>
      </c>
      <c r="D12" s="5" t="inlineStr">
        <is>
          <t>Blocking Lumber (2x4)</t>
        </is>
      </c>
      <c r="E12" s="5" t="inlineStr">
        <is>
          <t>12 типів blocking per §18.3</t>
        </is>
      </c>
      <c r="F12" s="5" t="inlineStr">
        <is>
          <t>linear ft</t>
        </is>
      </c>
      <c r="G12" s="27" t="n">
        <v>40</v>
      </c>
      <c r="H12" s="27" t="n">
        <v>60</v>
      </c>
      <c r="I12" s="27" t="n">
        <v>80</v>
      </c>
      <c r="J12" s="22" t="n">
        <v>0.5600000000000001</v>
      </c>
      <c r="K12" s="22">
        <f>IF(OR(H12="",J12="",J12=0),"",H12*J12)</f>
        <v/>
      </c>
      <c r="L12" s="5" t="inlineStr">
        <is>
          <t>Home Depot</t>
        </is>
      </c>
      <c r="M12" s="5" t="inlineStr">
        <is>
          <t>2x4 SPF #2 blocking</t>
        </is>
      </c>
      <c r="N12" s="5" t="inlineStr"/>
      <c r="O12" s="5" t="inlineStr">
        <is>
          <t>Confirmed</t>
        </is>
      </c>
      <c r="P12" s="5" t="inlineStr">
        <is>
          <t>medium</t>
        </is>
      </c>
      <c r="Q12" s="5" t="inlineStr">
        <is>
          <t>Cabinets/vanity/W-D/WH straps/TV/doors/towels/shelves... | Same as plates stock | Ціна збір: 2026-05-28</t>
        </is>
      </c>
    </row>
    <row r="13">
      <c r="A13" s="5" t="n">
        <v>9</v>
      </c>
      <c r="B13" s="5" t="inlineStr">
        <is>
          <t>Framing</t>
        </is>
      </c>
      <c r="C13" s="5" t="inlineStr">
        <is>
          <t>Backing</t>
        </is>
      </c>
      <c r="D13" s="5" t="inlineStr">
        <is>
          <t>Drywall Backing / Nailers</t>
        </is>
      </c>
      <c r="E13" s="5" t="inlineStr">
        <is>
          <t>Inside corners + T-intersections</t>
        </is>
      </c>
      <c r="F13" s="5" t="inlineStr">
        <is>
          <t>linear ft</t>
        </is>
      </c>
      <c r="G13" s="27" t="n">
        <v>20</v>
      </c>
      <c r="H13" s="27" t="n">
        <v>30</v>
      </c>
      <c r="I13" s="27" t="n">
        <v>40</v>
      </c>
      <c r="J13" s="22" t="n">
        <v>0.5600000000000001</v>
      </c>
      <c r="K13" s="22">
        <f>IF(OR(H13="",J13="",J13=0),"",H13*J13)</f>
        <v/>
      </c>
      <c r="L13" s="5" t="inlineStr">
        <is>
          <t>Home Depot</t>
        </is>
      </c>
      <c r="M13" s="5" t="inlineStr">
        <is>
          <t>2x4 SPF #2 nailer</t>
        </is>
      </c>
      <c r="N13" s="5" t="inlineStr"/>
      <c r="O13" s="5" t="inlineStr">
        <is>
          <t>Confirmed</t>
        </is>
      </c>
      <c r="P13" s="5" t="inlineStr">
        <is>
          <t>medium</t>
        </is>
      </c>
      <c r="Q13" s="5" t="inlineStr">
        <is>
          <t>Для drywall attachment points | Drywall backing per LF | Ціна збір: 2026-05-28</t>
        </is>
      </c>
    </row>
    <row r="14">
      <c r="A14" s="5" t="n">
        <v>10</v>
      </c>
      <c r="B14" s="5" t="inlineStr">
        <is>
          <t>Framing</t>
        </is>
      </c>
      <c r="C14" s="5" t="inlineStr">
        <is>
          <t>Hardware</t>
        </is>
      </c>
      <c r="D14" s="5" t="inlineStr">
        <is>
          <t>Simpson Connectors / Brackets</t>
        </is>
      </c>
      <c r="E14" s="5" t="inlineStr">
        <is>
          <t>L, T, A35 mixed</t>
        </is>
      </c>
      <c r="F14" s="5" t="inlineStr">
        <is>
          <t>pcs</t>
        </is>
      </c>
      <c r="G14" s="27" t="n">
        <v>20</v>
      </c>
      <c r="H14" s="27" t="n">
        <v>30</v>
      </c>
      <c r="I14" s="27" t="n">
        <v>40</v>
      </c>
      <c r="J14" s="22" t="n">
        <v>3</v>
      </c>
      <c r="K14" s="22">
        <f>IF(OR(H14="",J14="",J14=0),"",H14*J14)</f>
        <v/>
      </c>
      <c r="L14" s="5" t="inlineStr">
        <is>
          <t>Home Depot</t>
        </is>
      </c>
      <c r="M14" s="5" t="inlineStr">
        <is>
          <t>Simpson mixed pack</t>
        </is>
      </c>
      <c r="N14" s="5" t="inlineStr"/>
      <c r="O14" s="5" t="inlineStr">
        <is>
          <t>TBD</t>
        </is>
      </c>
      <c r="P14" s="5" t="inlineStr">
        <is>
          <t>medium</t>
        </is>
      </c>
      <c r="Q14" s="5" t="inlineStr">
        <is>
          <t>L, T, A35 mixed connectors | Ціна збір: 2026-05-28</t>
        </is>
      </c>
    </row>
    <row r="15">
      <c r="A15" s="5" t="n">
        <v>11</v>
      </c>
      <c r="B15" s="5" t="inlineStr">
        <is>
          <t>Framing</t>
        </is>
      </c>
      <c r="C15" s="5" t="inlineStr">
        <is>
          <t>Hardware</t>
        </is>
      </c>
      <c r="D15" s="5" t="inlineStr">
        <is>
          <t>Hold-downs Simpson HDU2 allowance</t>
        </is>
      </c>
      <c r="E15" s="5" t="inlineStr">
        <is>
          <t>Allowance — TBD per structural engineer</t>
        </is>
      </c>
      <c r="F15" s="5" t="inlineStr">
        <is>
          <t>pcs</t>
        </is>
      </c>
      <c r="G15" s="27" t="n">
        <v>0</v>
      </c>
      <c r="H15" s="27" t="n">
        <v>4</v>
      </c>
      <c r="I15" s="27" t="n">
        <v>6</v>
      </c>
      <c r="J15" s="22" t="n">
        <v>30</v>
      </c>
      <c r="K15" s="22">
        <f>IF(OR(H15="",J15="",J15=0),"",H15*J15)</f>
        <v/>
      </c>
      <c r="L15" s="5" t="inlineStr">
        <is>
          <t>Home Depot</t>
        </is>
      </c>
      <c r="M15" s="5" t="inlineStr">
        <is>
          <t>Simpson HDU2-SDS2.5</t>
        </is>
      </c>
      <c r="N15" s="5" t="inlineStr"/>
      <c r="O15" s="5" t="inlineStr">
        <is>
          <t>TBD</t>
        </is>
      </c>
      <c r="P15" s="5" t="inlineStr">
        <is>
          <t>medium</t>
        </is>
      </c>
      <c r="Q15" s="5" t="inlineStr">
        <is>
          <t>§33.25 — verify shear wall requirement | Hold-down. $25-35 each. Allowance, TBD per engineer | Ціна збір: 2026-05-28</t>
        </is>
      </c>
    </row>
    <row r="16">
      <c r="A16" s="5" t="n">
        <v>12</v>
      </c>
      <c r="B16" s="5" t="inlineStr">
        <is>
          <t>Framing</t>
        </is>
      </c>
      <c r="C16" s="5" t="inlineStr">
        <is>
          <t>Hardware</t>
        </is>
      </c>
      <c r="D16" s="5" t="inlineStr">
        <is>
          <t>Metal Protection Plates</t>
        </is>
      </c>
      <c r="E16" s="5" t="inlineStr">
        <is>
          <t>Stud guards 1.5x5 за trades</t>
        </is>
      </c>
      <c r="F16" s="5" t="inlineStr">
        <is>
          <t>pcs</t>
        </is>
      </c>
      <c r="G16" s="27" t="n">
        <v>20</v>
      </c>
      <c r="H16" s="27" t="n">
        <v>30</v>
      </c>
      <c r="I16" s="27" t="n">
        <v>40</v>
      </c>
      <c r="J16" s="22" t="n">
        <v>0.5</v>
      </c>
      <c r="K16" s="22">
        <f>IF(OR(H16="",J16="",J16=0),"",H16*J16)</f>
        <v/>
      </c>
      <c r="L16" s="5" t="inlineStr">
        <is>
          <t>Home Depot</t>
        </is>
      </c>
      <c r="M16" s="5" t="inlineStr">
        <is>
          <t>Generic 16-gauge stud guard</t>
        </is>
      </c>
      <c r="N16" s="5" t="inlineStr"/>
      <c r="O16" s="5" t="inlineStr">
        <is>
          <t>TBD</t>
        </is>
      </c>
      <c r="P16" s="5" t="inlineStr">
        <is>
          <t>medium</t>
        </is>
      </c>
      <c r="Q16" s="5" t="inlineStr">
        <is>
          <t>Nail protection plate for trades | Ціна збір: 2026-05-28</t>
        </is>
      </c>
    </row>
    <row r="17">
      <c r="A17" s="5" t="n">
        <v>13</v>
      </c>
      <c r="B17" s="5" t="inlineStr">
        <is>
          <t>Framing</t>
        </is>
      </c>
      <c r="C17" s="5" t="inlineStr">
        <is>
          <t>Hardware</t>
        </is>
      </c>
      <c r="D17" s="5" t="inlineStr">
        <is>
          <t>Composite / Wood Shims</t>
        </is>
      </c>
      <c r="E17" s="5" t="inlineStr">
        <is>
          <t>Для вирівнювання walls/openings</t>
        </is>
      </c>
      <c r="F17" s="5" t="inlineStr">
        <is>
          <t>pack</t>
        </is>
      </c>
      <c r="G17" s="27" t="n">
        <v>1</v>
      </c>
      <c r="H17" s="27" t="n">
        <v>2</v>
      </c>
      <c r="I17" s="27" t="n">
        <v>4</v>
      </c>
      <c r="J17" s="22" t="n">
        <v>10</v>
      </c>
      <c r="K17" s="22">
        <f>IF(OR(H17="",J17="",J17=0),"",H17*J17)</f>
        <v/>
      </c>
      <c r="L17" s="5" t="inlineStr">
        <is>
          <t>Home Depot</t>
        </is>
      </c>
      <c r="M17" s="5" t="inlineStr">
        <is>
          <t>Generic composite/wood shims pack</t>
        </is>
      </c>
      <c r="N17" s="5" t="inlineStr"/>
      <c r="O17" s="5" t="inlineStr">
        <is>
          <t>Confirmed</t>
        </is>
      </c>
      <c r="P17" s="5" t="inlineStr">
        <is>
          <t>medium</t>
        </is>
      </c>
      <c r="Q17" s="5" t="inlineStr">
        <is>
          <t>ДОДАНО (review): wall plumbing і opening setting | ДОДАНО (review): для wall plumbing і opening setting | Ціна збір: 2026-05-28</t>
        </is>
      </c>
    </row>
    <row r="18">
      <c r="A18" s="5" t="n">
        <v>14</v>
      </c>
      <c r="B18" s="5" t="inlineStr">
        <is>
          <t>Framing</t>
        </is>
      </c>
      <c r="C18" s="5" t="inlineStr">
        <is>
          <t>Anchors</t>
        </is>
      </c>
      <c r="D18" s="5" t="inlineStr">
        <is>
          <t>Anchor Bolts 1/2 × 10 galvanized</t>
        </is>
      </c>
      <c r="E18" s="5" t="inlineStr">
        <is>
          <t>Для sill/perimeter/structural conditions</t>
        </is>
      </c>
      <c r="F18" s="5" t="inlineStr">
        <is>
          <t>pcs</t>
        </is>
      </c>
      <c r="G18" s="27" t="n">
        <v>12</v>
      </c>
      <c r="H18" s="27" t="n">
        <v>20</v>
      </c>
      <c r="I18" s="27" t="n">
        <v>30</v>
      </c>
      <c r="J18" s="22" t="n">
        <v>1</v>
      </c>
      <c r="K18" s="22">
        <f>IF(OR(H18="",J18="",J18=0),"",H18*J18)</f>
        <v/>
      </c>
      <c r="L18" s="5" t="inlineStr">
        <is>
          <t>Home Depot</t>
        </is>
      </c>
      <c r="M18" s="5" t="inlineStr">
        <is>
          <t>Simpson / generic 1/2 × 10 galv</t>
        </is>
      </c>
      <c r="N18" s="5" t="inlineStr"/>
      <c r="O18" s="5" t="inlineStr">
        <is>
          <t>TBD</t>
        </is>
      </c>
      <c r="P18" s="5" t="inlineStr">
        <is>
          <t>medium</t>
        </is>
      </c>
      <c r="Q18" s="5" t="inlineStr">
        <is>
          <t>Verify use: anchor bolts для sill/perimeter/structural; interior partitions on subfloor можуть use screws/nails | Anchor bolt — verify use for sill/perimeter only | Ціна збір: 2026-05-28</t>
        </is>
      </c>
    </row>
    <row r="19">
      <c r="A19" s="5" t="n">
        <v>15</v>
      </c>
      <c r="B19" s="5" t="inlineStr">
        <is>
          <t>Framing</t>
        </is>
      </c>
      <c r="C19" s="5" t="inlineStr">
        <is>
          <t>Fasteners</t>
        </is>
      </c>
      <c r="D19" s="5" t="inlineStr">
        <is>
          <t>Framing Nails / Screws</t>
        </is>
      </c>
      <c r="E19" s="5" t="inlineStr">
        <is>
          <t>16d collated, 3-1/4" mixed</t>
        </is>
      </c>
      <c r="F19" s="5" t="inlineStr">
        <is>
          <t>lb</t>
        </is>
      </c>
      <c r="G19" s="27" t="n">
        <v>10</v>
      </c>
      <c r="H19" s="27" t="n">
        <v>15</v>
      </c>
      <c r="I19" s="27" t="n">
        <v>20</v>
      </c>
      <c r="J19" s="22" t="n">
        <v>5</v>
      </c>
      <c r="K19" s="22">
        <f>IF(OR(H19="",J19="",J19=0),"",H19*J19)</f>
        <v/>
      </c>
      <c r="L19" s="5" t="inlineStr">
        <is>
          <t>Home Depot</t>
        </is>
      </c>
      <c r="M19" s="5" t="inlineStr">
        <is>
          <t>Generic 16d collated framing nails</t>
        </is>
      </c>
      <c r="N19" s="5" t="inlineStr"/>
      <c r="O19" s="5" t="inlineStr">
        <is>
          <t>Confirmed</t>
        </is>
      </c>
      <c r="P19" s="5" t="inlineStr">
        <is>
          <t>medium</t>
        </is>
      </c>
      <c r="Q19" s="5" t="inlineStr">
        <is>
          <t>$5/lb pneumatic collated | Ціна збір: 2026-05-28</t>
        </is>
      </c>
    </row>
    <row r="20">
      <c r="A20" s="5" t="n">
        <v>16</v>
      </c>
      <c r="B20" s="5" t="inlineStr">
        <is>
          <t>Framing</t>
        </is>
      </c>
      <c r="C20" s="5" t="inlineStr">
        <is>
          <t>Fasteners</t>
        </is>
      </c>
      <c r="D20" s="5" t="inlineStr">
        <is>
          <t>Structural Screws / Header Fasteners</t>
        </is>
      </c>
      <c r="E20" s="5" t="inlineStr">
        <is>
          <t>SDS/Strong-Drive для LVL &amp; headers</t>
        </is>
      </c>
      <c r="F20" s="5" t="inlineStr">
        <is>
          <t>box</t>
        </is>
      </c>
      <c r="G20" s="27" t="n">
        <v>1</v>
      </c>
      <c r="H20" s="27" t="n">
        <v>1</v>
      </c>
      <c r="I20" s="27" t="n">
        <v>2</v>
      </c>
      <c r="J20" s="22" t="n">
        <v>30</v>
      </c>
      <c r="K20" s="22">
        <f>IF(OR(H20="",J20="",J20=0),"",H20*J20)</f>
        <v/>
      </c>
      <c r="L20" s="5" t="inlineStr">
        <is>
          <t>Home Depot</t>
        </is>
      </c>
      <c r="M20" s="5" t="inlineStr">
        <is>
          <t>Simpson SDS / Strong-Drive box</t>
        </is>
      </c>
      <c r="N20" s="5" t="inlineStr"/>
      <c r="O20" s="5" t="inlineStr">
        <is>
          <t>Confirmed</t>
        </is>
      </c>
      <c r="P20" s="5" t="inlineStr">
        <is>
          <t>medium</t>
        </is>
      </c>
      <c r="Q20" s="5" t="inlineStr">
        <is>
          <t>ДОДАНО (review): для LVL/header/opening connections | ДОДАНО (review): structural screws для LVL/header | Ціна збір: 2026-05-28</t>
        </is>
      </c>
    </row>
    <row r="21">
      <c r="A21" s="5" t="n">
        <v>17</v>
      </c>
      <c r="B21" s="5" t="inlineStr">
        <is>
          <t>Framing</t>
        </is>
      </c>
      <c r="C21" s="5" t="inlineStr">
        <is>
          <t>Sheathing</t>
        </is>
      </c>
      <c r="D21" s="5" t="inlineStr">
        <is>
          <t>OSB / Plywood Sheathing allowance</t>
        </is>
      </c>
      <c r="E21" s="5" t="inlineStr">
        <is>
          <t>Garage opening close-up / shear panels</t>
        </is>
      </c>
      <c r="F21" s="5" t="inlineStr">
        <is>
          <t>sheets</t>
        </is>
      </c>
      <c r="G21" s="27" t="n">
        <v>1</v>
      </c>
      <c r="H21" s="27" t="n">
        <v>3</v>
      </c>
      <c r="I21" s="27" t="n">
        <v>5</v>
      </c>
      <c r="J21" s="22" t="n">
        <v>30</v>
      </c>
      <c r="K21" s="22">
        <f>IF(OR(H21="",J21="",J21=0),"",H21*J21)</f>
        <v/>
      </c>
      <c r="L21" s="5" t="inlineStr">
        <is>
          <t>Home Depot</t>
        </is>
      </c>
      <c r="M21" s="5" t="inlineStr">
        <is>
          <t>3/4" OSB 4x8 sheet</t>
        </is>
      </c>
      <c r="N21" s="5" t="inlineStr"/>
      <c r="O21" s="5" t="inlineStr">
        <is>
          <t>TBD</t>
        </is>
      </c>
      <c r="P21" s="5" t="inlineStr">
        <is>
          <t>medium</t>
        </is>
      </c>
      <c r="Q21" s="5" t="inlineStr">
        <is>
          <t>ДОДАНО (review): garage door opening closure / shear wall / backing | ДОДАНО (review): garage opening close-up + shear allowance | Ціна збір: 2026-05-28</t>
        </is>
      </c>
    </row>
    <row r="22">
      <c r="A22" s="5" t="n">
        <v>18</v>
      </c>
      <c r="B22" s="5" t="inlineStr">
        <is>
          <t>Framing</t>
        </is>
      </c>
      <c r="C22" s="5" t="inlineStr">
        <is>
          <t>Adhesives</t>
        </is>
      </c>
      <c r="D22" s="5" t="inlineStr">
        <is>
          <t>Construction Adhesive (framing)</t>
        </is>
      </c>
      <c r="E22" s="5" t="inlineStr">
        <is>
          <t>PL Premium plate-to-floor</t>
        </is>
      </c>
      <c r="F22" s="5" t="inlineStr">
        <is>
          <t>tubes</t>
        </is>
      </c>
      <c r="G22" s="27" t="n">
        <v>3</v>
      </c>
      <c r="H22" s="27" t="n">
        <v>5</v>
      </c>
      <c r="I22" s="27" t="n">
        <v>7</v>
      </c>
      <c r="J22" s="22" t="n">
        <v>10</v>
      </c>
      <c r="K22" s="22">
        <f>IF(OR(H22="",J22="",J22=0),"",H22*J22)</f>
        <v/>
      </c>
      <c r="L22" s="5" t="inlineStr">
        <is>
          <t>Home Depot</t>
        </is>
      </c>
      <c r="M22" s="5" t="inlineStr">
        <is>
          <t>Loctite PL Premium 10oz</t>
        </is>
      </c>
      <c r="N22" s="5" t="inlineStr"/>
      <c r="O22" s="5" t="inlineStr">
        <is>
          <t>Confirmed</t>
        </is>
      </c>
      <c r="P22" s="5" t="inlineStr">
        <is>
          <t>medium</t>
        </is>
      </c>
      <c r="Q22" s="5" t="inlineStr">
        <is>
          <t>Plate-to-floor adhesive | Ціна збір: 2026-05-28</t>
        </is>
      </c>
    </row>
    <row r="23">
      <c r="A23" s="5" t="n">
        <v>19</v>
      </c>
      <c r="B23" s="5" t="inlineStr">
        <is>
          <t>Framing</t>
        </is>
      </c>
      <c r="C23" s="5" t="inlineStr">
        <is>
          <t>Sealants</t>
        </is>
      </c>
      <c r="D23" s="5" t="inlineStr">
        <is>
          <t>Acoustical Sealant</t>
        </is>
      </c>
      <c r="E23" s="5" t="inlineStr">
        <is>
          <t>Bedroom/bathroom partitions sound</t>
        </is>
      </c>
      <c r="F23" s="5" t="inlineStr">
        <is>
          <t>tubes</t>
        </is>
      </c>
      <c r="G23" s="27" t="n">
        <v>2</v>
      </c>
      <c r="H23" s="27" t="n">
        <v>4</v>
      </c>
      <c r="I23" s="27" t="n">
        <v>6</v>
      </c>
      <c r="J23" s="22" t="n">
        <v>10</v>
      </c>
      <c r="K23" s="22">
        <f>IF(OR(H23="",J23="",J23=0),"",H23*J23)</f>
        <v/>
      </c>
      <c r="L23" s="5" t="inlineStr">
        <is>
          <t>Home Depot</t>
        </is>
      </c>
      <c r="M23" s="5" t="inlineStr">
        <is>
          <t>OSI ProSeries acoustical 28oz</t>
        </is>
      </c>
      <c r="N23" s="5" t="inlineStr"/>
      <c r="O23" s="5" t="inlineStr">
        <is>
          <t>TBD</t>
        </is>
      </c>
      <c r="P23" s="5" t="inlineStr">
        <is>
          <t>medium</t>
        </is>
      </c>
      <c r="Q23" s="5" t="inlineStr">
        <is>
          <t>Sound dampening per partition | Sound dampening для bedroom/bathroom partitions | Ціна збір: 2026-05-28</t>
        </is>
      </c>
    </row>
    <row r="24">
      <c r="A24" s="5" t="n">
        <v>20</v>
      </c>
      <c r="B24" s="5" t="inlineStr">
        <is>
          <t>Framing</t>
        </is>
      </c>
      <c r="C24" s="5" t="inlineStr">
        <is>
          <t>Fire Protection</t>
        </is>
      </c>
      <c r="D24" s="5" t="inlineStr">
        <is>
          <t>Fire Blocking Materials</t>
        </is>
      </c>
      <c r="E24" s="5" t="inlineStr">
        <is>
          <t>Foam + 2x4 blocks per code</t>
        </is>
      </c>
      <c r="F24" s="5" t="inlineStr">
        <is>
          <t>set</t>
        </is>
      </c>
      <c r="G24" s="27" t="n">
        <v>1</v>
      </c>
      <c r="H24" s="27" t="n">
        <v>1</v>
      </c>
      <c r="I24" s="27" t="n">
        <v>1</v>
      </c>
      <c r="J24" s="22" t="n">
        <v>30</v>
      </c>
      <c r="K24" s="22">
        <f>IF(OR(H24="",J24="",J24=0),"",H24*J24)</f>
        <v/>
      </c>
      <c r="L24" s="5" t="inlineStr">
        <is>
          <t>Home Depot</t>
        </is>
      </c>
      <c r="M24" s="5" t="inlineStr">
        <is>
          <t>DAP fire-block foam + lumber</t>
        </is>
      </c>
      <c r="N24" s="5" t="inlineStr"/>
      <c r="O24" s="5" t="inlineStr">
        <is>
          <t>TBD</t>
        </is>
      </c>
      <c r="P24" s="5" t="inlineStr">
        <is>
          <t>medium</t>
        </is>
      </c>
      <c r="Q24" s="5" t="inlineStr">
        <is>
          <t>Verify if required by local code | Per code requirements | Ціна збір: 2026-05-28</t>
        </is>
      </c>
    </row>
    <row r="25">
      <c r="A25" s="5" t="n">
        <v>21</v>
      </c>
      <c r="B25" s="5" t="inlineStr">
        <is>
          <t>Framing</t>
        </is>
      </c>
      <c r="C25" s="5" t="inlineStr">
        <is>
          <t>Fire Protection</t>
        </is>
      </c>
      <c r="D25" s="5" t="inlineStr">
        <is>
          <t>Fire-rated Caulk / Sealant</t>
        </is>
      </c>
      <c r="E25" s="5" t="inlineStr">
        <is>
          <t>Для penetrations</t>
        </is>
      </c>
      <c r="F25" s="5" t="inlineStr">
        <is>
          <t>tubes</t>
        </is>
      </c>
      <c r="G25" s="27" t="n">
        <v>2</v>
      </c>
      <c r="H25" s="27" t="n">
        <v>4</v>
      </c>
      <c r="I25" s="27" t="n">
        <v>6</v>
      </c>
      <c r="J25" s="22" t="n">
        <v>12</v>
      </c>
      <c r="K25" s="22">
        <f>IF(OR(H25="",J25="",J25=0),"",H25*J25)</f>
        <v/>
      </c>
      <c r="L25" s="5" t="inlineStr">
        <is>
          <t>Home Depot</t>
        </is>
      </c>
      <c r="M25" s="5" t="inlineStr">
        <is>
          <t>3M fire-rated caulk / Hilti FS-One</t>
        </is>
      </c>
      <c r="N25" s="5" t="inlineStr"/>
      <c r="O25" s="5" t="inlineStr">
        <is>
          <t>TBD</t>
        </is>
      </c>
      <c r="P25" s="5" t="inlineStr">
        <is>
          <t>medium</t>
        </is>
      </c>
      <c r="Q25" s="5" t="inlineStr">
        <is>
          <t>ДОДАНО (review): окремо від foam blocking | ДОДАНО (review): окремо від foam blocking | Ціна збір: 2026-05-28</t>
        </is>
      </c>
    </row>
    <row r="26">
      <c r="A26" s="5" t="n">
        <v>22</v>
      </c>
      <c r="B26" s="5" t="inlineStr">
        <is>
          <t>Framing</t>
        </is>
      </c>
      <c r="C26" s="5" t="inlineStr">
        <is>
          <t>Framing Supplies</t>
        </is>
      </c>
      <c r="D26" s="5" t="inlineStr">
        <is>
          <t>Chalk Line / Marking Supplies</t>
        </is>
      </c>
      <c r="E26" s="5" t="inlineStr">
        <is>
          <t>Chalk + line + carpenter pencils + plumb bob</t>
        </is>
      </c>
      <c r="F26" s="5" t="inlineStr">
        <is>
          <t>set</t>
        </is>
      </c>
      <c r="G26" s="27" t="n">
        <v>1</v>
      </c>
      <c r="H26" s="27" t="n">
        <v>1</v>
      </c>
      <c r="I26" s="27" t="n">
        <v>1</v>
      </c>
      <c r="J26" s="22" t="n">
        <v>25</v>
      </c>
      <c r="K26" s="22">
        <f>IF(OR(H26="",J26="",J26=0),"",H26*J26)</f>
        <v/>
      </c>
      <c r="L26" s="5" t="inlineStr">
        <is>
          <t>Home Depot</t>
        </is>
      </c>
      <c r="M26" s="5" t="inlineStr">
        <is>
          <t>Generic chalk line + pencils + plumb bob set</t>
        </is>
      </c>
      <c r="N26" s="5" t="inlineStr"/>
      <c r="O26" s="5" t="inlineStr">
        <is>
          <t>Confirmed</t>
        </is>
      </c>
      <c r="P26" s="5" t="inlineStr">
        <is>
          <t>medium</t>
        </is>
      </c>
      <c r="Q26" s="5" t="inlineStr">
        <is>
          <t>ДОДАНО (review): layout aids | ДОДАНО (review): layout aids | Ціна збір: 2026-05-28</t>
        </is>
      </c>
    </row>
    <row r="27">
      <c r="A27" s="5" t="n">
        <v>23</v>
      </c>
      <c r="B27" s="5" t="inlineStr">
        <is>
          <t>Framing</t>
        </is>
      </c>
      <c r="C27" s="5" t="inlineStr">
        <is>
          <t>Bracing</t>
        </is>
      </c>
      <c r="D27" s="5" t="inlineStr">
        <is>
          <t>Temporary Bracing Lumber</t>
        </is>
      </c>
      <c r="E27" s="5" t="inlineStr">
        <is>
          <t>Для setting walls during framing</t>
        </is>
      </c>
      <c r="F27" s="5" t="inlineStr">
        <is>
          <t>linear ft</t>
        </is>
      </c>
      <c r="G27" s="27" t="n">
        <v>15</v>
      </c>
      <c r="H27" s="27" t="n">
        <v>25</v>
      </c>
      <c r="I27" s="27" t="n">
        <v>40</v>
      </c>
      <c r="J27" s="22" t="n">
        <v>0.5600000000000001</v>
      </c>
      <c r="K27" s="22">
        <f>IF(OR(H27="",J27="",J27=0),"",H27*J27)</f>
        <v/>
      </c>
      <c r="L27" s="5" t="inlineStr">
        <is>
          <t>Home Depot</t>
        </is>
      </c>
      <c r="M27" s="5" t="inlineStr">
        <is>
          <t>2x4 SPF temp bracing (reusable)</t>
        </is>
      </c>
      <c r="N27" s="5" t="inlineStr"/>
      <c r="O27" s="5" t="inlineStr">
        <is>
          <t>TBD</t>
        </is>
      </c>
      <c r="P27" s="5" t="inlineStr">
        <is>
          <t>medium</t>
        </is>
      </c>
      <c r="Q27" s="5" t="inlineStr">
        <is>
          <t>ДОДАНО (review): можна reuse після | ДОДАНО (review): temporary bracing, можна reuse | Ціна збір: 2026-05-28</t>
        </is>
      </c>
    </row>
    <row r="29">
      <c r="A29" s="8" t="n"/>
      <c r="B29" s="8" t="n"/>
      <c r="C29" s="9" t="inlineStr">
        <is>
          <t>ПІДСУМОК ФАЗИ</t>
        </is>
      </c>
      <c r="D29" s="8" t="n"/>
      <c r="E29" s="8" t="n"/>
      <c r="F29" s="8" t="n"/>
      <c r="G29" s="8" t="n"/>
      <c r="H29" s="8" t="n"/>
      <c r="I29" s="8" t="n"/>
      <c r="J29" s="8" t="n"/>
      <c r="K29" s="24">
        <f>SUM(K5:K27)</f>
        <v/>
      </c>
      <c r="L29" s="8" t="n"/>
      <c r="M29" s="8" t="n"/>
      <c r="N29" s="8" t="n"/>
      <c r="O29" s="8" t="n"/>
      <c r="P29" s="8" t="n"/>
      <c r="Q29" s="8" t="n"/>
    </row>
  </sheetData>
  <autoFilter ref="A4:Q27"/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4 — Doors &amp; Windows / Openings (§25)</t>
        </is>
      </c>
    </row>
    <row r="2" ht="18" customHeight="1">
      <c r="A2" s="3" t="inlineStr">
        <is>
          <t>3 windows + 5 doors + folding system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Openings</t>
        </is>
      </c>
      <c r="C5" s="5" t="inlineStr">
        <is>
          <t>Windows</t>
        </is>
      </c>
      <c r="D5" s="5" t="inlineStr">
        <is>
          <t>Bathroom Window</t>
        </is>
      </c>
      <c r="E5" s="5" t="inlineStr">
        <is>
          <t>Vinyl ES, ~24×36 (TBD §33.12)</t>
        </is>
      </c>
      <c r="F5" s="5" t="inlineStr">
        <is>
          <t>pcs</t>
        </is>
      </c>
      <c r="G5" s="27" t="n">
        <v>1</v>
      </c>
      <c r="H5" s="27" t="n">
        <v>1</v>
      </c>
      <c r="I5" s="27" t="n">
        <v>1</v>
      </c>
      <c r="J5" s="22" t="n">
        <v>180</v>
      </c>
      <c r="K5" s="22">
        <f>IF(OR(H5="",J5="",J5=0),"",H5*J5)</f>
        <v/>
      </c>
      <c r="L5" s="5" t="inlineStr">
        <is>
          <t>Home Depot</t>
        </is>
      </c>
      <c r="M5" s="5" t="inlineStr">
        <is>
          <t>JELD-WEN V-4500 24×36 white</t>
        </is>
      </c>
      <c r="N5" s="5" t="inlineStr">
        <is>
          <t>https://www.homedepot.com/b/Doors-Windows-Windows-Single-Hung-Windows/Energy-Star/N-5yc1vZas73Z1z1wgir</t>
        </is>
      </c>
      <c r="O5" s="5" t="inlineStr">
        <is>
          <t>TBD</t>
        </is>
      </c>
      <c r="P5" s="5" t="inlineStr">
        <is>
          <t>medium</t>
        </is>
      </c>
      <c r="Q5" s="5" t="inlineStr">
        <is>
          <t>Field-verify size | Bathroom window, smaller size ~$150-220 | Ціна збір: 2026-05-28</t>
        </is>
      </c>
    </row>
    <row r="6">
      <c r="A6" s="5" t="n">
        <v>2</v>
      </c>
      <c r="B6" s="5" t="inlineStr">
        <is>
          <t>Openings</t>
        </is>
      </c>
      <c r="C6" s="5" t="inlineStr">
        <is>
          <t>Windows</t>
        </is>
      </c>
      <c r="D6" s="5" t="inlineStr">
        <is>
          <t>Kitchen Window</t>
        </is>
      </c>
      <c r="E6" s="5" t="inlineStr">
        <is>
          <t>Vinyl ES, ~36×48 (TBD)</t>
        </is>
      </c>
      <c r="F6" s="5" t="inlineStr">
        <is>
          <t>pcs</t>
        </is>
      </c>
      <c r="G6" s="27" t="n">
        <v>1</v>
      </c>
      <c r="H6" s="27" t="n">
        <v>1</v>
      </c>
      <c r="I6" s="27" t="n">
        <v>1</v>
      </c>
      <c r="J6" s="22" t="n">
        <v>300</v>
      </c>
      <c r="K6" s="22">
        <f>IF(OR(H6="",J6="",J6=0),"",H6*J6)</f>
        <v/>
      </c>
      <c r="L6" s="5" t="inlineStr">
        <is>
          <t>Home Depot</t>
        </is>
      </c>
      <c r="M6" s="5" t="inlineStr">
        <is>
          <t>JELD-WEN V-4500 36×48 white</t>
        </is>
      </c>
      <c r="N6" s="5" t="inlineStr">
        <is>
          <t>https://www.homedepot.com/p/JELD-WEN-36-in-x-48-in-V-4500-Series-White-Single-Hung-Vinyl-Window-with-Fiberglass-Mesh-Screen-THDJW143900466/304848395</t>
        </is>
      </c>
      <c r="O6" s="5" t="inlineStr">
        <is>
          <t>TBD</t>
        </is>
      </c>
      <c r="P6" s="5" t="inlineStr">
        <is>
          <t>medium</t>
        </is>
      </c>
      <c r="Q6" s="5" t="inlineStr">
        <is>
          <t>Field-verify size | Kitchen window, standard size. HD retail $250-350 | Ціна збір: 2026-05-28</t>
        </is>
      </c>
    </row>
    <row r="7">
      <c r="A7" s="5" t="n">
        <v>3</v>
      </c>
      <c r="B7" s="5" t="inlineStr">
        <is>
          <t>Openings</t>
        </is>
      </c>
      <c r="C7" s="5" t="inlineStr">
        <is>
          <t>Windows</t>
        </is>
      </c>
      <c r="D7" s="5" t="inlineStr">
        <is>
          <t>Living Room Window</t>
        </is>
      </c>
      <c r="E7" s="5" t="inlineStr">
        <is>
          <t>Vinyl ES, ~36×60 (TBD)</t>
        </is>
      </c>
      <c r="F7" s="5" t="inlineStr">
        <is>
          <t>pcs</t>
        </is>
      </c>
      <c r="G7" s="27" t="n">
        <v>1</v>
      </c>
      <c r="H7" s="27" t="n">
        <v>1</v>
      </c>
      <c r="I7" s="27" t="n">
        <v>1</v>
      </c>
      <c r="J7" s="22" t="n">
        <v>400</v>
      </c>
      <c r="K7" s="22">
        <f>IF(OR(H7="",J7="",J7=0),"",H7*J7)</f>
        <v/>
      </c>
      <c r="L7" s="5" t="inlineStr">
        <is>
          <t>Home Depot</t>
        </is>
      </c>
      <c r="M7" s="5" t="inlineStr">
        <is>
          <t>JELD-WEN V-4500 36×60 white</t>
        </is>
      </c>
      <c r="N7" s="5" t="inlineStr"/>
      <c r="O7" s="5" t="inlineStr">
        <is>
          <t>TBD</t>
        </is>
      </c>
      <c r="P7" s="5" t="inlineStr">
        <is>
          <t>medium</t>
        </is>
      </c>
      <c r="Q7" s="5" t="inlineStr">
        <is>
          <t>Field-verify size | Living window, larger size. Premium V-4500 dealer $675 ref | Ціна збір: 2026-05-28</t>
        </is>
      </c>
    </row>
    <row r="8">
      <c r="A8" s="5" t="n">
        <v>4</v>
      </c>
      <c r="B8" s="5" t="inlineStr">
        <is>
          <t>Openings</t>
        </is>
      </c>
      <c r="C8" s="5" t="inlineStr">
        <is>
          <t>Exterior Doors</t>
        </is>
      </c>
      <c r="D8" s="5" t="inlineStr">
        <is>
          <t>Main Entry Door</t>
        </is>
      </c>
      <c r="E8" s="5" t="inlineStr">
        <is>
          <t>Prehung steel 36×80 insulated</t>
        </is>
      </c>
      <c r="F8" s="5" t="inlineStr">
        <is>
          <t>pcs</t>
        </is>
      </c>
      <c r="G8" s="27" t="n">
        <v>1</v>
      </c>
      <c r="H8" s="27" t="n">
        <v>1</v>
      </c>
      <c r="I8" s="27" t="n">
        <v>1</v>
      </c>
      <c r="J8" s="22" t="n">
        <v>400</v>
      </c>
      <c r="K8" s="22">
        <f>IF(OR(H8="",J8="",J8=0),"",H8*J8)</f>
        <v/>
      </c>
      <c r="L8" s="5" t="inlineStr">
        <is>
          <t>Home Depot</t>
        </is>
      </c>
      <c r="M8" s="5" t="inlineStr">
        <is>
          <t>Masonite Premium 6-panel 36×80</t>
        </is>
      </c>
      <c r="N8" s="5" t="inlineStr">
        <is>
          <t>https://www.homedepot.com/p/Masonite-36-in-x-80-in-Premium-6-Panel-Right-Hand-Inswing-Primed-Steel-Prehung-Front-Exterior-Door-with-Brickmold-27105/100053184</t>
        </is>
      </c>
      <c r="O8" s="5" t="inlineStr">
        <is>
          <t>TBD</t>
        </is>
      </c>
      <c r="P8" s="5" t="inlineStr">
        <is>
          <t>medium</t>
        </is>
      </c>
      <c r="Q8" s="5" t="inlineStr">
        <is>
          <t>Field-verify size (§33.14) | Prehung steel insulated з brickmold. $300-500 range | Ціна збір: 2026-05-28</t>
        </is>
      </c>
    </row>
    <row r="9">
      <c r="A9" s="19" t="n">
        <v>5</v>
      </c>
      <c r="B9" s="19" t="inlineStr">
        <is>
          <t>Openings</t>
        </is>
      </c>
      <c r="C9" s="19" t="inlineStr">
        <is>
          <t>Exterior Doors</t>
        </is>
      </c>
      <c r="D9" s="19" t="inlineStr">
        <is>
          <t>Backyard French Door</t>
        </is>
      </c>
      <c r="E9" s="19" t="inlineStr">
        <is>
          <t>Fiberglass prehung 60×80, glazed</t>
        </is>
      </c>
      <c r="F9" s="19" t="inlineStr">
        <is>
          <t>pcs</t>
        </is>
      </c>
      <c r="G9" s="28" t="n">
        <v>1</v>
      </c>
      <c r="H9" s="28" t="n">
        <v>1</v>
      </c>
      <c r="I9" s="28" t="n">
        <v>1</v>
      </c>
      <c r="J9" s="29" t="n">
        <v>1500</v>
      </c>
      <c r="K9" s="29">
        <f>IF(OR(H9="",J9="",J9=0),"",H9*J9)</f>
        <v/>
      </c>
      <c r="L9" s="19" t="inlineStr">
        <is>
          <t>Special Order</t>
        </is>
      </c>
      <c r="M9" s="19" t="inlineStr">
        <is>
          <t>Masonite/ThermaTru fiberglass 60×80 patio</t>
        </is>
      </c>
      <c r="N9" s="19" t="inlineStr">
        <is>
          <t>https://www.homedepot.com/b/Doors-Windows-Exterior-Doors-Patio-Doors/Masonite/60-x-80/French-Patio-Door/N-5yc1vZarqnZyqZ1z0rbkpZ1z0v1y3</t>
        </is>
      </c>
      <c r="O9" s="19" t="inlineStr">
        <is>
          <t>Confirmed</t>
        </is>
      </c>
      <c r="P9" s="19" t="inlineStr">
        <is>
          <t>medium</t>
        </is>
      </c>
      <c r="Q9" s="19" t="inlineStr">
        <is>
          <t>Special Order. Lead 4-8 weeks. Delivery not included. Field-verify (§33.13) | Special Order. Fiberglass French. $1200-1800 range | Ціна збір: 2026-05-28</t>
        </is>
      </c>
    </row>
    <row r="10">
      <c r="A10" s="5" t="n">
        <v>6</v>
      </c>
      <c r="B10" s="5" t="inlineStr">
        <is>
          <t>Openings</t>
        </is>
      </c>
      <c r="C10" s="5" t="inlineStr">
        <is>
          <t>Interior Doors</t>
        </is>
      </c>
      <c r="D10" s="5" t="inlineStr">
        <is>
          <t>Bathroom Door</t>
        </is>
      </c>
      <c r="E10" s="5" t="inlineStr">
        <is>
          <t>Prehung hollow core 30×80</t>
        </is>
      </c>
      <c r="F10" s="5" t="inlineStr">
        <is>
          <t>pcs</t>
        </is>
      </c>
      <c r="G10" s="27" t="n">
        <v>1</v>
      </c>
      <c r="H10" s="27" t="n">
        <v>1</v>
      </c>
      <c r="I10" s="27" t="n">
        <v>1</v>
      </c>
      <c r="J10" s="22" t="n">
        <v>110</v>
      </c>
      <c r="K10" s="22">
        <f>IF(OR(H10="",J10="",J10=0),"",H10*J10)</f>
        <v/>
      </c>
      <c r="L10" s="5" t="inlineStr">
        <is>
          <t>Home Depot</t>
        </is>
      </c>
      <c r="M10" s="5" t="inlineStr">
        <is>
          <t>Masonite hollow core 30×80</t>
        </is>
      </c>
      <c r="N10" s="5" t="inlineStr"/>
      <c r="O10" s="5" t="inlineStr">
        <is>
          <t>TBD</t>
        </is>
      </c>
      <c r="P10" s="5" t="inlineStr">
        <is>
          <t>medium</t>
        </is>
      </c>
      <c r="Q10" s="5" t="inlineStr">
        <is>
          <t>Verify if privacy lockset included; otherwise add separately | Prehung з privacy lock | Ціна збір: 2026-05-28</t>
        </is>
      </c>
    </row>
    <row r="11">
      <c r="A11" s="5" t="n">
        <v>7</v>
      </c>
      <c r="B11" s="5" t="inlineStr">
        <is>
          <t>Openings</t>
        </is>
      </c>
      <c r="C11" s="5" t="inlineStr">
        <is>
          <t>Interior Doors</t>
        </is>
      </c>
      <c r="D11" s="5" t="inlineStr">
        <is>
          <t>Utility Closet Door</t>
        </is>
      </c>
      <c r="E11" s="5" t="inlineStr">
        <is>
          <t>24×80 louvered bifold або slab</t>
        </is>
      </c>
      <c r="F11" s="5" t="inlineStr">
        <is>
          <t>pcs</t>
        </is>
      </c>
      <c r="G11" s="27" t="n">
        <v>1</v>
      </c>
      <c r="H11" s="27" t="n">
        <v>1</v>
      </c>
      <c r="I11" s="27" t="n">
        <v>1</v>
      </c>
      <c r="J11" s="22" t="n">
        <v>80</v>
      </c>
      <c r="K11" s="22">
        <f>IF(OR(H11="",J11="",J11=0),"",H11*J11)</f>
        <v/>
      </c>
      <c r="L11" s="5" t="inlineStr">
        <is>
          <t>Home Depot</t>
        </is>
      </c>
      <c r="M11" s="5" t="inlineStr">
        <is>
          <t>Masonite louvered prehung 24×80</t>
        </is>
      </c>
      <c r="N11" s="5" t="inlineStr"/>
      <c r="O11" s="5" t="inlineStr">
        <is>
          <t>TBD</t>
        </is>
      </c>
      <c r="P11" s="5" t="inlineStr">
        <is>
          <t>medium</t>
        </is>
      </c>
      <c r="Q11" s="5" t="inlineStr">
        <is>
          <t>Final type TBD based on clearance | Або bifold louvered | Ціна збір: 2026-05-28</t>
        </is>
      </c>
    </row>
    <row r="12">
      <c r="A12" s="5" t="n">
        <v>8</v>
      </c>
      <c r="B12" s="5" t="inlineStr">
        <is>
          <t>Openings</t>
        </is>
      </c>
      <c r="C12" s="5" t="inlineStr">
        <is>
          <t>Specialty Systems</t>
        </is>
      </c>
      <c r="D12" s="5" t="inlineStr">
        <is>
          <t>Closet Sliding Door System</t>
        </is>
      </c>
      <c r="E12" s="5" t="inlineStr">
        <is>
          <t>Bypass 6 ft, 2-panel</t>
        </is>
      </c>
      <c r="F12" s="5" t="inlineStr">
        <is>
          <t>system</t>
        </is>
      </c>
      <c r="G12" s="27" t="n">
        <v>1</v>
      </c>
      <c r="H12" s="27" t="n">
        <v>1</v>
      </c>
      <c r="I12" s="27" t="n">
        <v>1</v>
      </c>
      <c r="J12" s="22" t="n">
        <v>250</v>
      </c>
      <c r="K12" s="22">
        <f>IF(OR(H12="",J12="",J12=0),"",H12*J12)</f>
        <v/>
      </c>
      <c r="L12" s="5" t="inlineStr">
        <is>
          <t>Home Depot / IKEA</t>
        </is>
      </c>
      <c r="M12" s="5" t="inlineStr">
        <is>
          <t>Home Depot bypass system 6ft</t>
        </is>
      </c>
      <c r="N12" s="5" t="inlineStr"/>
      <c r="O12" s="5" t="inlineStr">
        <is>
          <t>TBD</t>
        </is>
      </c>
      <c r="P12" s="5" t="inlineStr">
        <is>
          <t>medium</t>
        </is>
      </c>
      <c r="Q12" s="5" t="inlineStr">
        <is>
          <t>Field-verify (§33.16) | 2-panel bypass sliding closet system | Ціна збір: 2026-05-28</t>
        </is>
      </c>
    </row>
    <row r="13">
      <c r="A13" s="19" t="n">
        <v>9</v>
      </c>
      <c r="B13" s="19" t="inlineStr">
        <is>
          <t>Openings</t>
        </is>
      </c>
      <c r="C13" s="19" t="inlineStr">
        <is>
          <t>Specialty Systems</t>
        </is>
      </c>
      <c r="D13" s="19" t="inlineStr">
        <is>
          <t>Folding / Panel Door System 8 ft</t>
        </is>
      </c>
      <c r="E13" s="19" t="inlineStr">
        <is>
          <t>INTERIOR partition між bedroom і living (per §17.4)</t>
        </is>
      </c>
      <c r="F13" s="19" t="inlineStr">
        <is>
          <t>system</t>
        </is>
      </c>
      <c r="G13" s="28" t="n">
        <v>1</v>
      </c>
      <c r="H13" s="28" t="n">
        <v>1</v>
      </c>
      <c r="I13" s="28" t="n">
        <v>1</v>
      </c>
      <c r="J13" s="29" t="n">
        <v>3000</v>
      </c>
      <c r="K13" s="29">
        <f>IF(OR(H13="",J13="",J13=0),"",H13*J13)</f>
        <v/>
      </c>
      <c r="L13" s="19" t="inlineStr">
        <is>
          <t>Special Order</t>
        </is>
      </c>
      <c r="M13" s="19" t="inlineStr">
        <is>
          <t>Mid-tier folding partition system 8ft</t>
        </is>
      </c>
      <c r="N13" s="19" t="inlineStr">
        <is>
          <t>https://homeguide.com/costs/folding-accordion-patio-doors-cost</t>
        </is>
      </c>
      <c r="O13" s="19" t="inlineStr">
        <is>
          <t>Confirmed</t>
        </is>
      </c>
      <c r="P13" s="19" t="inlineStr">
        <is>
          <t>low</t>
        </is>
      </c>
      <c r="Q13" s="19" t="inlineStr">
        <is>
          <t>Special Order INTERIOR. High variability — final cost залежить від material: accordion / bifold / glass folding / wood / track / sound level. Field-verify (§33.15) | Special Order INTERIOR partition. Variability $1500 (basic accordion) - $6000 (LaCantina-style interior). Mid $3000 для quality glass/wood folding | Ціна збір: 2026-05-28</t>
        </is>
      </c>
    </row>
    <row r="14">
      <c r="A14" s="5" t="n">
        <v>10</v>
      </c>
      <c r="B14" s="5" t="inlineStr">
        <is>
          <t>Openings</t>
        </is>
      </c>
      <c r="C14" s="5" t="inlineStr">
        <is>
          <t>Weatherproofing</t>
        </is>
      </c>
      <c r="D14" s="5" t="inlineStr">
        <is>
          <t>Flashing Tape</t>
        </is>
      </c>
      <c r="E14" s="5" t="inlineStr">
        <is>
          <t>Windows + doors butyl/peel-stick</t>
        </is>
      </c>
      <c r="F14" s="5" t="inlineStr">
        <is>
          <t>rolls</t>
        </is>
      </c>
      <c r="G14" s="27" t="n">
        <v>2</v>
      </c>
      <c r="H14" s="27" t="n">
        <v>3</v>
      </c>
      <c r="I14" s="27" t="n">
        <v>4</v>
      </c>
      <c r="J14" s="22" t="n">
        <v>25</v>
      </c>
      <c r="K14" s="22">
        <f>IF(OR(H14="",J14="",J14=0),"",H14*J14)</f>
        <v/>
      </c>
      <c r="L14" s="5" t="inlineStr">
        <is>
          <t>Home Depot</t>
        </is>
      </c>
      <c r="M14" s="5" t="inlineStr">
        <is>
          <t>Tyvek FlexWrap / 3M flashing tape</t>
        </is>
      </c>
      <c r="N14" s="5" t="inlineStr"/>
      <c r="O14" s="5" t="inlineStr">
        <is>
          <t>Confirmed</t>
        </is>
      </c>
      <c r="P14" s="5" t="inlineStr">
        <is>
          <t>medium</t>
        </is>
      </c>
      <c r="Q14" s="5" t="inlineStr">
        <is>
          <t>Per roll | Ціна збір: 2026-05-28</t>
        </is>
      </c>
    </row>
    <row r="15">
      <c r="A15" s="5" t="n">
        <v>11</v>
      </c>
      <c r="B15" s="5" t="inlineStr">
        <is>
          <t>Openings</t>
        </is>
      </c>
      <c r="C15" s="5" t="inlineStr">
        <is>
          <t>Weatherproofing</t>
        </is>
      </c>
      <c r="D15" s="5" t="inlineStr">
        <is>
          <t>Sill Pans</t>
        </is>
      </c>
      <c r="E15" s="5" t="inlineStr">
        <is>
          <t>Windows + 2 exterior doors</t>
        </is>
      </c>
      <c r="F15" s="5" t="inlineStr">
        <is>
          <t>pcs</t>
        </is>
      </c>
      <c r="G15" s="27" t="n">
        <v>4</v>
      </c>
      <c r="H15" s="27" t="n">
        <v>5</v>
      </c>
      <c r="I15" s="27" t="n">
        <v>5</v>
      </c>
      <c r="J15" s="22" t="n">
        <v>30</v>
      </c>
      <c r="K15" s="22">
        <f>IF(OR(H15="",J15="",J15=0),"",H15*J15)</f>
        <v/>
      </c>
      <c r="L15" s="5" t="inlineStr">
        <is>
          <t>Home Depot</t>
        </is>
      </c>
      <c r="M15" s="5" t="inlineStr">
        <is>
          <t>Generic vinyl sill pan</t>
        </is>
      </c>
      <c r="N15" s="5" t="inlineStr"/>
      <c r="O15" s="5" t="inlineStr">
        <is>
          <t>Confirmed</t>
        </is>
      </c>
      <c r="P15" s="5" t="inlineStr">
        <is>
          <t>medium</t>
        </is>
      </c>
      <c r="Q15" s="5" t="inlineStr">
        <is>
          <t>Підвищено Mid: 3 windows + entry + French = 5 openings | Per window | Ціна збір: 2026-05-28</t>
        </is>
      </c>
    </row>
    <row r="16">
      <c r="A16" s="5" t="n">
        <v>12</v>
      </c>
      <c r="B16" s="5" t="inlineStr">
        <is>
          <t>Openings</t>
        </is>
      </c>
      <c r="C16" s="5" t="inlineStr">
        <is>
          <t>Weatherproofing</t>
        </is>
      </c>
      <c r="D16" s="5" t="inlineStr">
        <is>
          <t>Exterior Sealant</t>
        </is>
      </c>
      <c r="E16" s="5" t="inlineStr">
        <is>
          <t>Polyurethane caulk</t>
        </is>
      </c>
      <c r="F16" s="5" t="inlineStr">
        <is>
          <t>tubes</t>
        </is>
      </c>
      <c r="G16" s="27" t="n">
        <v>4</v>
      </c>
      <c r="H16" s="27" t="n">
        <v>6</v>
      </c>
      <c r="I16" s="27" t="n">
        <v>8</v>
      </c>
      <c r="J16" s="22" t="n">
        <v>8</v>
      </c>
      <c r="K16" s="22">
        <f>IF(OR(H16="",J16="",J16=0),"",H16*J16)</f>
        <v/>
      </c>
      <c r="L16" s="5" t="inlineStr">
        <is>
          <t>Home Depot</t>
        </is>
      </c>
      <c r="M16" s="5" t="inlineStr">
        <is>
          <t>Sika / OSI polyurethane sealant</t>
        </is>
      </c>
      <c r="N16" s="5" t="inlineStr"/>
      <c r="O16" s="5" t="inlineStr">
        <is>
          <t>Confirmed</t>
        </is>
      </c>
      <c r="P16" s="5" t="inlineStr">
        <is>
          <t>medium</t>
        </is>
      </c>
      <c r="Q16" s="5" t="inlineStr">
        <is>
          <t>Caulk tube | Ціна збір: 2026-05-28</t>
        </is>
      </c>
    </row>
    <row r="17">
      <c r="A17" s="5" t="n">
        <v>13</v>
      </c>
      <c r="B17" s="5" t="inlineStr">
        <is>
          <t>Openings</t>
        </is>
      </c>
      <c r="C17" s="5" t="inlineStr">
        <is>
          <t>Weatherproofing</t>
        </is>
      </c>
      <c r="D17" s="5" t="inlineStr">
        <is>
          <t>Low-expansion Foam</t>
        </is>
      </c>
      <c r="E17" s="5" t="inlineStr">
        <is>
          <t>Для perimeter gaps</t>
        </is>
      </c>
      <c r="F17" s="5" t="inlineStr">
        <is>
          <t>cans</t>
        </is>
      </c>
      <c r="G17" s="27" t="n">
        <v>3</v>
      </c>
      <c r="H17" s="27" t="n">
        <v>4</v>
      </c>
      <c r="I17" s="27" t="n">
        <v>6</v>
      </c>
      <c r="J17" s="22" t="n">
        <v>7</v>
      </c>
      <c r="K17" s="22">
        <f>IF(OR(H17="",J17="",J17=0),"",H17*J17)</f>
        <v/>
      </c>
      <c r="L17" s="5" t="inlineStr">
        <is>
          <t>Home Depot</t>
        </is>
      </c>
      <c r="M17" s="5" t="inlineStr">
        <is>
          <t>Great Stuff window/door foam</t>
        </is>
      </c>
      <c r="N17" s="5" t="inlineStr"/>
      <c r="O17" s="5" t="inlineStr">
        <is>
          <t>Confirmed</t>
        </is>
      </c>
      <c r="P17" s="5" t="inlineStr">
        <is>
          <t>medium</t>
        </is>
      </c>
      <c r="Q17" s="5" t="inlineStr">
        <is>
          <t>Low-expansion cans | Ціна збір: 2026-05-28</t>
        </is>
      </c>
    </row>
    <row r="18">
      <c r="A18" s="5" t="n">
        <v>14</v>
      </c>
      <c r="B18" s="5" t="inlineStr">
        <is>
          <t>Openings</t>
        </is>
      </c>
      <c r="C18" s="5" t="inlineStr">
        <is>
          <t>Trim</t>
        </is>
      </c>
      <c r="D18" s="5" t="inlineStr">
        <is>
          <t>Interior Casing</t>
        </is>
      </c>
      <c r="E18" s="5" t="inlineStr">
        <is>
          <t>За дверима/вікнами, 7+ openings</t>
        </is>
      </c>
      <c r="F18" s="5" t="inlineStr">
        <is>
          <t>linear ft</t>
        </is>
      </c>
      <c r="G18" s="27" t="n">
        <v>80</v>
      </c>
      <c r="H18" s="27" t="n">
        <v>120</v>
      </c>
      <c r="I18" s="27" t="n">
        <v>160</v>
      </c>
      <c r="J18" s="22" t="n">
        <v>0.8</v>
      </c>
      <c r="K18" s="22">
        <f>IF(OR(H18="",J18="",J18=0),"",H18*J18)</f>
        <v/>
      </c>
      <c r="L18" s="5" t="inlineStr">
        <is>
          <t>Home Depot</t>
        </is>
      </c>
      <c r="M18" s="5" t="inlineStr">
        <is>
          <t>MDF / pine interior casing</t>
        </is>
      </c>
      <c r="N18" s="5" t="inlineStr"/>
      <c r="O18" s="5" t="inlineStr">
        <is>
          <t>Confirmed</t>
        </is>
      </c>
      <c r="P18" s="5" t="inlineStr">
        <is>
          <t>medium</t>
        </is>
      </c>
      <c r="Q18" s="5" t="inlineStr">
        <is>
          <t>Per LF | Ціна збір: 2026-05-28</t>
        </is>
      </c>
    </row>
    <row r="19">
      <c r="A19" s="5" t="n">
        <v>15</v>
      </c>
      <c r="B19" s="5" t="inlineStr">
        <is>
          <t>Openings</t>
        </is>
      </c>
      <c r="C19" s="5" t="inlineStr">
        <is>
          <t>Trim</t>
        </is>
      </c>
      <c r="D19" s="5" t="inlineStr">
        <is>
          <t>Exterior Trim</t>
        </is>
      </c>
      <c r="E19" s="5" t="inlineStr">
        <is>
          <t>Standard exterior molding</t>
        </is>
      </c>
      <c r="F19" s="5" t="inlineStr">
        <is>
          <t>linear ft</t>
        </is>
      </c>
      <c r="G19" s="27" t="n">
        <v>40</v>
      </c>
      <c r="H19" s="27" t="n">
        <v>60</v>
      </c>
      <c r="I19" s="27" t="n">
        <v>80</v>
      </c>
      <c r="J19" s="22" t="n">
        <v>1.2</v>
      </c>
      <c r="K19" s="22">
        <f>IF(OR(H19="",J19="",J19=0),"",H19*J19)</f>
        <v/>
      </c>
      <c r="L19" s="5" t="inlineStr">
        <is>
          <t>Home Depot</t>
        </is>
      </c>
      <c r="M19" s="5" t="inlineStr">
        <is>
          <t>Pine/PVC exterior trim</t>
        </is>
      </c>
      <c r="N19" s="5" t="inlineStr"/>
      <c r="O19" s="5" t="inlineStr">
        <is>
          <t>Confirmed</t>
        </is>
      </c>
      <c r="P19" s="5" t="inlineStr">
        <is>
          <t>medium</t>
        </is>
      </c>
      <c r="Q19" s="5" t="inlineStr">
        <is>
          <t>Per LF | Ціна збір: 2026-05-28</t>
        </is>
      </c>
    </row>
    <row r="20">
      <c r="A20" s="5" t="n">
        <v>16</v>
      </c>
      <c r="B20" s="5" t="inlineStr">
        <is>
          <t>Openings</t>
        </is>
      </c>
      <c r="C20" s="5" t="inlineStr">
        <is>
          <t>Hardware</t>
        </is>
      </c>
      <c r="D20" s="5" t="inlineStr">
        <is>
          <t>Entry Door Lockset + Deadbolt</t>
        </is>
      </c>
      <c r="E20" s="5" t="inlineStr">
        <is>
          <t>Для main entry only</t>
        </is>
      </c>
      <c r="F20" s="5" t="inlineStr">
        <is>
          <t>set</t>
        </is>
      </c>
      <c r="G20" s="27" t="n">
        <v>1</v>
      </c>
      <c r="H20" s="27" t="n">
        <v>1</v>
      </c>
      <c r="I20" s="27" t="n">
        <v>1</v>
      </c>
      <c r="J20" s="22" t="n">
        <v>200</v>
      </c>
      <c r="K20" s="22">
        <f>IF(OR(H20="",J20="",J20=0),"",H20*J20)</f>
        <v/>
      </c>
      <c r="L20" s="5" t="inlineStr">
        <is>
          <t>Home Depot</t>
        </is>
      </c>
      <c r="M20" s="5" t="inlineStr">
        <is>
          <t>Schlage/Kwikset Entry lockset+deadbolt</t>
        </is>
      </c>
      <c r="N20" s="5" t="inlineStr"/>
      <c r="O20" s="5" t="inlineStr">
        <is>
          <t>Confirmed</t>
        </is>
      </c>
      <c r="P20" s="5" t="inlineStr">
        <is>
          <t>medium</t>
        </is>
      </c>
      <c r="Q20" s="5" t="inlineStr">
        <is>
          <t>Schlage/Kwikset deadbolt + handle | Entry ONLY (French door has separate multi-point in row 24) | Ціна збір: 2026-05-28</t>
        </is>
      </c>
    </row>
    <row r="21">
      <c r="A21" s="5" t="n">
        <v>17</v>
      </c>
      <c r="B21" s="5" t="inlineStr">
        <is>
          <t>Openings</t>
        </is>
      </c>
      <c r="C21" s="5" t="inlineStr">
        <is>
          <t>Windows</t>
        </is>
      </c>
      <c r="D21" s="5" t="inlineStr">
        <is>
          <t>Window Screens</t>
        </is>
      </c>
      <c r="E21" s="5" t="inlineStr">
        <is>
          <t>Fiberglass mesh</t>
        </is>
      </c>
      <c r="F21" s="5" t="inlineStr">
        <is>
          <t>pcs</t>
        </is>
      </c>
      <c r="G21" s="27" t="n">
        <v>3</v>
      </c>
      <c r="H21" s="27" t="n">
        <v>3</v>
      </c>
      <c r="I21" s="27" t="n">
        <v>3</v>
      </c>
      <c r="J21" s="22" t="n">
        <v>40</v>
      </c>
      <c r="K21" s="22">
        <f>IF(OR(H21="",J21="",J21=0),"",H21*J21)</f>
        <v/>
      </c>
      <c r="L21" s="5" t="inlineStr">
        <is>
          <t>Home Depot</t>
        </is>
      </c>
      <c r="M21" s="5" t="inlineStr">
        <is>
          <t>Generic vinyl window screen</t>
        </is>
      </c>
      <c r="N21" s="5" t="inlineStr"/>
      <c r="O21" s="5" t="inlineStr">
        <is>
          <t>Confirmed</t>
        </is>
      </c>
      <c r="P21" s="5" t="inlineStr">
        <is>
          <t>medium</t>
        </is>
      </c>
      <c r="Q21" s="5" t="inlineStr">
        <is>
          <t>May be included with selected windows; keep as allowance until product selected | Per window. May be included з window selection | Ціна збір: 2026-05-28</t>
        </is>
      </c>
    </row>
    <row r="22">
      <c r="A22" s="5" t="n">
        <v>18</v>
      </c>
      <c r="B22" s="5" t="inlineStr">
        <is>
          <t>Openings</t>
        </is>
      </c>
      <c r="C22" s="5" t="inlineStr">
        <is>
          <t>Windows</t>
        </is>
      </c>
      <c r="D22" s="5" t="inlineStr">
        <is>
          <t>Window Sills / Stools</t>
        </is>
      </c>
      <c r="E22" s="5" t="inlineStr">
        <is>
          <t>Interior trim під window</t>
        </is>
      </c>
      <c r="F22" s="5" t="inlineStr">
        <is>
          <t>pcs</t>
        </is>
      </c>
      <c r="G22" s="27" t="n">
        <v>3</v>
      </c>
      <c r="H22" s="27" t="n">
        <v>3</v>
      </c>
      <c r="I22" s="27" t="n">
        <v>3</v>
      </c>
      <c r="J22" s="22" t="n">
        <v>30</v>
      </c>
      <c r="K22" s="22">
        <f>IF(OR(H22="",J22="",J22=0),"",H22*J22)</f>
        <v/>
      </c>
      <c r="L22" s="5" t="inlineStr">
        <is>
          <t>Home Depot</t>
        </is>
      </c>
      <c r="M22" s="5" t="inlineStr">
        <is>
          <t>Pine/MDF window sill stool</t>
        </is>
      </c>
      <c r="N22" s="5" t="inlineStr"/>
      <c r="O22" s="5" t="inlineStr">
        <is>
          <t>Confirmed</t>
        </is>
      </c>
      <c r="P22" s="5" t="inlineStr">
        <is>
          <t>medium</t>
        </is>
      </c>
      <c r="Q22" s="5" t="inlineStr">
        <is>
          <t>Окремо від generic casing | Per window | Ціна збір: 2026-05-28</t>
        </is>
      </c>
    </row>
    <row r="23">
      <c r="A23" s="5" t="n">
        <v>19</v>
      </c>
      <c r="B23" s="5" t="inlineStr">
        <is>
          <t>Openings</t>
        </is>
      </c>
      <c r="C23" s="5" t="inlineStr">
        <is>
          <t>Trim</t>
        </is>
      </c>
      <c r="D23" s="5" t="inlineStr">
        <is>
          <t>Brick Mold / Exterior Casing</t>
        </is>
      </c>
      <c r="E23" s="5" t="inlineStr">
        <is>
          <t>Для exterior openings</t>
        </is>
      </c>
      <c r="F23" s="5" t="inlineStr">
        <is>
          <t>linear ft</t>
        </is>
      </c>
      <c r="G23" s="27" t="n">
        <v>40</v>
      </c>
      <c r="H23" s="27" t="n">
        <v>60</v>
      </c>
      <c r="I23" s="27" t="n">
        <v>80</v>
      </c>
      <c r="J23" s="22" t="n">
        <v>1.5</v>
      </c>
      <c r="K23" s="22">
        <f>IF(OR(H23="",J23="",J23=0),"",H23*J23)</f>
        <v/>
      </c>
      <c r="L23" s="5" t="inlineStr">
        <is>
          <t>Home Depot</t>
        </is>
      </c>
      <c r="M23" s="5" t="inlineStr">
        <is>
          <t>Pine brick mold exterior casing</t>
        </is>
      </c>
      <c r="N23" s="5" t="inlineStr"/>
      <c r="O23" s="5" t="inlineStr">
        <is>
          <t>Confirmed</t>
        </is>
      </c>
      <c r="P23" s="5" t="inlineStr">
        <is>
          <t>medium</t>
        </is>
      </c>
      <c r="Q23" s="5" t="inlineStr">
        <is>
          <t>Окремо від generic exterior trim | Per LF, surrounds exterior openings | Ціна збір: 2026-05-28</t>
        </is>
      </c>
    </row>
    <row r="24">
      <c r="A24" s="19" t="n">
        <v>20</v>
      </c>
      <c r="B24" s="19" t="inlineStr">
        <is>
          <t>Openings</t>
        </is>
      </c>
      <c r="C24" s="19" t="inlineStr">
        <is>
          <t>Hardware</t>
        </is>
      </c>
      <c r="D24" s="19" t="inlineStr">
        <is>
          <t>French Door Hardware</t>
        </is>
      </c>
      <c r="E24" s="19" t="inlineStr">
        <is>
          <t>Multi-point lock + handles</t>
        </is>
      </c>
      <c r="F24" s="19" t="inlineStr">
        <is>
          <t>set</t>
        </is>
      </c>
      <c r="G24" s="28" t="n">
        <v>1</v>
      </c>
      <c r="H24" s="28" t="n">
        <v>1</v>
      </c>
      <c r="I24" s="28" t="n">
        <v>1</v>
      </c>
      <c r="J24" s="29" t="n">
        <v>300</v>
      </c>
      <c r="K24" s="29">
        <f>IF(OR(H24="",J24="",J24=0),"",H24*J24)</f>
        <v/>
      </c>
      <c r="L24" s="19" t="inlineStr">
        <is>
          <t>Special Order</t>
        </is>
      </c>
      <c r="M24" s="19" t="inlineStr">
        <is>
          <t>Multi-point lock French door set</t>
        </is>
      </c>
      <c r="N24" s="19" t="inlineStr"/>
      <c r="O24" s="19" t="inlineStr">
        <is>
          <t>TBD</t>
        </is>
      </c>
      <c r="P24" s="19" t="inlineStr">
        <is>
          <t>medium</t>
        </is>
      </c>
      <c r="Q24" s="19" t="inlineStr">
        <is>
          <t>Специфічно для French door (§25.3) | 3-point lock + handles для French door | Ціна збір: 2026-05-28</t>
        </is>
      </c>
    </row>
    <row r="25">
      <c r="A25" s="5" t="n">
        <v>21</v>
      </c>
      <c r="B25" s="5" t="inlineStr">
        <is>
          <t>Openings</t>
        </is>
      </c>
      <c r="C25" s="5" t="inlineStr">
        <is>
          <t>Hardware</t>
        </is>
      </c>
      <c r="D25" s="5" t="inlineStr">
        <is>
          <t>Weatherstripping</t>
        </is>
      </c>
      <c r="E25" s="5" t="inlineStr">
        <is>
          <t>Kit для exterior doors</t>
        </is>
      </c>
      <c r="F25" s="5" t="inlineStr">
        <is>
          <t>set</t>
        </is>
      </c>
      <c r="G25" s="27" t="n">
        <v>2</v>
      </c>
      <c r="H25" s="27" t="n">
        <v>2</v>
      </c>
      <c r="I25" s="27" t="n">
        <v>2</v>
      </c>
      <c r="J25" s="22" t="n">
        <v>25</v>
      </c>
      <c r="K25" s="22">
        <f>IF(OR(H25="",J25="",J25=0),"",H25*J25)</f>
        <v/>
      </c>
      <c r="L25" s="5" t="inlineStr">
        <is>
          <t>Home Depot</t>
        </is>
      </c>
      <c r="M25" s="5" t="inlineStr">
        <is>
          <t>Generic kit weatherstripping</t>
        </is>
      </c>
      <c r="N25" s="5" t="inlineStr"/>
      <c r="O25" s="5" t="inlineStr">
        <is>
          <t>Confirmed</t>
        </is>
      </c>
      <c r="P25" s="5" t="inlineStr">
        <is>
          <t>medium</t>
        </is>
      </c>
      <c r="Q25" s="5" t="inlineStr">
        <is>
          <t>Entry + French | Per exterior door | Ціна збір: 2026-05-28</t>
        </is>
      </c>
    </row>
    <row r="26">
      <c r="A26" s="5" t="n">
        <v>22</v>
      </c>
      <c r="B26" s="5" t="inlineStr">
        <is>
          <t>Openings</t>
        </is>
      </c>
      <c r="C26" s="5" t="inlineStr">
        <is>
          <t>Hardware</t>
        </is>
      </c>
      <c r="D26" s="5" t="inlineStr">
        <is>
          <t>Door Sweep / Threshold Seal</t>
        </is>
      </c>
      <c r="E26" s="5" t="inlineStr">
        <is>
          <t>Для exterior doors</t>
        </is>
      </c>
      <c r="F26" s="5" t="inlineStr">
        <is>
          <t>pcs</t>
        </is>
      </c>
      <c r="G26" s="27" t="n">
        <v>2</v>
      </c>
      <c r="H26" s="27" t="n">
        <v>2</v>
      </c>
      <c r="I26" s="27" t="n">
        <v>2</v>
      </c>
      <c r="J26" s="22" t="n">
        <v>20</v>
      </c>
      <c r="K26" s="22">
        <f>IF(OR(H26="",J26="",J26=0),"",H26*J26)</f>
        <v/>
      </c>
      <c r="L26" s="5" t="inlineStr">
        <is>
          <t>Home Depot</t>
        </is>
      </c>
      <c r="M26" s="5" t="inlineStr">
        <is>
          <t>Generic door sweep / threshold seal</t>
        </is>
      </c>
      <c r="N26" s="5" t="inlineStr"/>
      <c r="O26" s="5" t="inlineStr">
        <is>
          <t>Confirmed</t>
        </is>
      </c>
      <c r="P26" s="5" t="inlineStr">
        <is>
          <t>medium</t>
        </is>
      </c>
      <c r="Q26" s="5" t="inlineStr">
        <is>
          <t>Air leak prevention | Per exterior door | Ціна збір: 2026-05-28</t>
        </is>
      </c>
    </row>
    <row r="27">
      <c r="A27" s="5" t="n">
        <v>23</v>
      </c>
      <c r="B27" s="5" t="inlineStr">
        <is>
          <t>Openings</t>
        </is>
      </c>
      <c r="C27" s="5" t="inlineStr">
        <is>
          <t>Hardware</t>
        </is>
      </c>
      <c r="D27" s="5" t="inlineStr">
        <is>
          <t>Threshold Extender (French door)</t>
        </is>
      </c>
      <c r="E27" s="5" t="inlineStr">
        <is>
          <t>Для 10" raise через raised floor</t>
        </is>
      </c>
      <c r="F27" s="5" t="inlineStr">
        <is>
          <t>pcs</t>
        </is>
      </c>
      <c r="G27" s="27" t="n">
        <v>1</v>
      </c>
      <c r="H27" s="27" t="n">
        <v>1</v>
      </c>
      <c r="I27" s="27" t="n">
        <v>1</v>
      </c>
      <c r="J27" s="22" t="n">
        <v>50</v>
      </c>
      <c r="K27" s="22">
        <f>IF(OR(H27="",J27="",J27=0),"",H27*J27)</f>
        <v/>
      </c>
      <c r="L27" s="5" t="inlineStr">
        <is>
          <t>Home Depot / specialty</t>
        </is>
      </c>
      <c r="M27" s="5" t="inlineStr">
        <is>
          <t>Generic threshold extender</t>
        </is>
      </c>
      <c r="N27" s="5" t="inlineStr"/>
      <c r="O27" s="5" t="inlineStr">
        <is>
          <t>TBD</t>
        </is>
      </c>
      <c r="P27" s="5" t="inlineStr">
        <is>
          <t>medium</t>
        </is>
      </c>
      <c r="Q27" s="5" t="inlineStr">
        <is>
          <t>Per Phase 2 raised floor coordination | French door через raised floor 10" rise | Ціна збір: 2026-05-28</t>
        </is>
      </c>
    </row>
    <row r="28">
      <c r="A28" s="5" t="n">
        <v>24</v>
      </c>
      <c r="B28" s="5" t="inlineStr">
        <is>
          <t>Openings</t>
        </is>
      </c>
      <c r="C28" s="5" t="inlineStr">
        <is>
          <t>Hardware</t>
        </is>
      </c>
      <c r="D28" s="5" t="inlineStr">
        <is>
          <t>Astragal Strip allowance</t>
        </is>
      </c>
      <c r="E28" s="5" t="inlineStr">
        <is>
          <t>Між French door panels</t>
        </is>
      </c>
      <c r="F28" s="5" t="inlineStr">
        <is>
          <t>pcs</t>
        </is>
      </c>
      <c r="G28" s="27" t="n">
        <v>0</v>
      </c>
      <c r="H28" s="27" t="n">
        <v>1</v>
      </c>
      <c r="I28" s="27" t="n">
        <v>1</v>
      </c>
      <c r="J28" s="22" t="n">
        <v>80</v>
      </c>
      <c r="K28" s="22">
        <f>IF(OR(H28="",J28="",J28=0),"",H28*J28)</f>
        <v/>
      </c>
      <c r="L28" s="5" t="inlineStr">
        <is>
          <t>Home Depot</t>
        </is>
      </c>
      <c r="M28" s="5" t="inlineStr">
        <is>
          <t>Generic astragal strip</t>
        </is>
      </c>
      <c r="N28" s="5" t="inlineStr"/>
      <c r="O28" s="5" t="inlineStr">
        <is>
          <t>TBD</t>
        </is>
      </c>
      <c r="P28" s="5" t="inlineStr">
        <is>
          <t>medium</t>
        </is>
      </c>
      <c r="Q28" s="5" t="inlineStr">
        <is>
          <t>Якщо single-leaf French door | Якщо single-leaf French door | Ціна збір: 2026-05-28</t>
        </is>
      </c>
    </row>
    <row r="29">
      <c r="A29" s="5" t="n">
        <v>25</v>
      </c>
      <c r="B29" s="5" t="inlineStr">
        <is>
          <t>Openings</t>
        </is>
      </c>
      <c r="C29" s="5" t="inlineStr">
        <is>
          <t>Hardware</t>
        </is>
      </c>
      <c r="D29" s="5" t="inlineStr">
        <is>
          <t>Interior Privacy/Passage Handles</t>
        </is>
      </c>
      <c r="E29" s="5" t="inlineStr">
        <is>
          <t>Bathroom (privacy) + utility (passage)</t>
        </is>
      </c>
      <c r="F29" s="5" t="inlineStr">
        <is>
          <t>set</t>
        </is>
      </c>
      <c r="G29" s="27" t="n">
        <v>2</v>
      </c>
      <c r="H29" s="27" t="n">
        <v>2</v>
      </c>
      <c r="I29" s="27" t="n">
        <v>3</v>
      </c>
      <c r="J29" s="22" t="n">
        <v>30</v>
      </c>
      <c r="K29" s="22">
        <f>IF(OR(H29="",J29="",J29=0),"",H29*J29)</f>
        <v/>
      </c>
      <c r="L29" s="5" t="inlineStr">
        <is>
          <t>Home Depot</t>
        </is>
      </c>
      <c r="M29" s="5" t="inlineStr">
        <is>
          <t>Schlage/Kwikset privacy or passage handle</t>
        </is>
      </c>
      <c r="N29" s="5" t="inlineStr"/>
      <c r="O29" s="5" t="inlineStr">
        <is>
          <t>Confirmed</t>
        </is>
      </c>
      <c r="P29" s="5" t="inlineStr">
        <is>
          <t>medium</t>
        </is>
      </c>
      <c r="Q29" s="5" t="inlineStr">
        <is>
          <t>ДОДАНО (review): if not included with prehung doors | ДОДАНО (review): bathroom privacy + utility passage | Ціна збір: 2026-05-28</t>
        </is>
      </c>
    </row>
    <row r="30">
      <c r="A30" s="5" t="n">
        <v>26</v>
      </c>
      <c r="B30" s="5" t="inlineStr">
        <is>
          <t>Openings</t>
        </is>
      </c>
      <c r="C30" s="5" t="inlineStr">
        <is>
          <t>Hardware</t>
        </is>
      </c>
      <c r="D30" s="5" t="inlineStr">
        <is>
          <t>Hinges Allowance</t>
        </is>
      </c>
      <c r="E30" s="5" t="inlineStr">
        <is>
          <t>Якщо doors не prehung або заміна</t>
        </is>
      </c>
      <c r="F30" s="5" t="inlineStr">
        <is>
          <t>set</t>
        </is>
      </c>
      <c r="G30" s="27" t="n">
        <v>0</v>
      </c>
      <c r="H30" s="27" t="n">
        <v>1</v>
      </c>
      <c r="I30" s="27" t="n">
        <v>2</v>
      </c>
      <c r="J30" s="22" t="n">
        <v>25</v>
      </c>
      <c r="K30" s="22">
        <f>IF(OR(H30="",J30="",J30=0),"",H30*J30)</f>
        <v/>
      </c>
      <c r="L30" s="5" t="inlineStr">
        <is>
          <t>Home Depot</t>
        </is>
      </c>
      <c r="M30" s="5" t="inlineStr">
        <is>
          <t>Generic 3-pack door hinges</t>
        </is>
      </c>
      <c r="N30" s="5" t="inlineStr"/>
      <c r="O30" s="5" t="inlineStr">
        <is>
          <t>TBD</t>
        </is>
      </c>
      <c r="P30" s="5" t="inlineStr">
        <is>
          <t>medium</t>
        </is>
      </c>
      <c r="Q30" s="5" t="inlineStr">
        <is>
          <t>ДОДАНО (review) | ДОДАНО (review): allowance | Ціна збір: 2026-05-28</t>
        </is>
      </c>
    </row>
    <row r="31">
      <c r="A31" s="5" t="n">
        <v>27</v>
      </c>
      <c r="B31" s="5" t="inlineStr">
        <is>
          <t>Openings</t>
        </is>
      </c>
      <c r="C31" s="5" t="inlineStr">
        <is>
          <t>Installation Supplies</t>
        </is>
      </c>
      <c r="D31" s="5" t="inlineStr">
        <is>
          <t>Door / Window Shims</t>
        </is>
      </c>
      <c r="E31" s="5" t="inlineStr">
        <is>
          <t>Composite/wood для setting</t>
        </is>
      </c>
      <c r="F31" s="5" t="inlineStr">
        <is>
          <t>pack</t>
        </is>
      </c>
      <c r="G31" s="27" t="n">
        <v>2</v>
      </c>
      <c r="H31" s="27" t="n">
        <v>3</v>
      </c>
      <c r="I31" s="27" t="n">
        <v>4</v>
      </c>
      <c r="J31" s="22" t="n">
        <v>10</v>
      </c>
      <c r="K31" s="22">
        <f>IF(OR(H31="",J31="",J31=0),"",H31*J31)</f>
        <v/>
      </c>
      <c r="L31" s="5" t="inlineStr">
        <is>
          <t>Home Depot</t>
        </is>
      </c>
      <c r="M31" s="5" t="inlineStr">
        <is>
          <t>Generic composite/wood shims pack</t>
        </is>
      </c>
      <c r="N31" s="5" t="inlineStr"/>
      <c r="O31" s="5" t="inlineStr">
        <is>
          <t>Confirmed</t>
        </is>
      </c>
      <c r="P31" s="5" t="inlineStr">
        <is>
          <t>medium</t>
        </is>
      </c>
      <c r="Q31" s="5" t="inlineStr">
        <is>
          <t>ДОДАНО (review) | ДОДАНО (review): door/window setting | Ціна збір: 2026-05-28</t>
        </is>
      </c>
    </row>
    <row r="32">
      <c r="A32" s="5" t="n">
        <v>28</v>
      </c>
      <c r="B32" s="5" t="inlineStr">
        <is>
          <t>Openings</t>
        </is>
      </c>
      <c r="C32" s="5" t="inlineStr">
        <is>
          <t>Weatherproofing</t>
        </is>
      </c>
      <c r="D32" s="5" t="inlineStr">
        <is>
          <t>Backer Rod</t>
        </is>
      </c>
      <c r="E32" s="5" t="inlineStr">
        <is>
          <t>Для великих gaps перед sealant</t>
        </is>
      </c>
      <c r="F32" s="5" t="inlineStr">
        <is>
          <t>rolls</t>
        </is>
      </c>
      <c r="G32" s="27" t="n">
        <v>1</v>
      </c>
      <c r="H32" s="27" t="n">
        <v>2</v>
      </c>
      <c r="I32" s="27" t="n">
        <v>3</v>
      </c>
      <c r="J32" s="22" t="n">
        <v>8</v>
      </c>
      <c r="K32" s="22">
        <f>IF(OR(H32="",J32="",J32=0),"",H32*J32)</f>
        <v/>
      </c>
      <c r="L32" s="5" t="inlineStr">
        <is>
          <t>Home Depot</t>
        </is>
      </c>
      <c r="M32" s="5" t="inlineStr">
        <is>
          <t>Closed-cell backer rod 1/2"</t>
        </is>
      </c>
      <c r="N32" s="5" t="inlineStr"/>
      <c r="O32" s="5" t="inlineStr">
        <is>
          <t>Confirmed</t>
        </is>
      </c>
      <c r="P32" s="5" t="inlineStr">
        <is>
          <t>medium</t>
        </is>
      </c>
      <c r="Q32" s="5" t="inlineStr">
        <is>
          <t>ДОДАНО (review) | ДОДАНО (review): для exterior sealant gaps | Ціна збір: 2026-05-28</t>
        </is>
      </c>
    </row>
    <row r="33">
      <c r="A33" s="5" t="n">
        <v>29</v>
      </c>
      <c r="B33" s="5" t="inlineStr">
        <is>
          <t>Openings</t>
        </is>
      </c>
      <c r="C33" s="5" t="inlineStr">
        <is>
          <t>Weatherproofing</t>
        </is>
      </c>
      <c r="D33" s="5" t="inlineStr">
        <is>
          <t>Drip Cap / Z-Flashing</t>
        </is>
      </c>
      <c r="E33" s="5" t="inlineStr">
        <is>
          <t>Над exterior doors/windows</t>
        </is>
      </c>
      <c r="F33" s="5" t="inlineStr">
        <is>
          <t>pcs</t>
        </is>
      </c>
      <c r="G33" s="27" t="n">
        <v>2</v>
      </c>
      <c r="H33" s="27" t="n">
        <v>3</v>
      </c>
      <c r="I33" s="27" t="n">
        <v>5</v>
      </c>
      <c r="J33" s="22" t="n">
        <v>15</v>
      </c>
      <c r="K33" s="22">
        <f>IF(OR(H33="",J33="",J33=0),"",H33*J33)</f>
        <v/>
      </c>
      <c r="L33" s="5" t="inlineStr">
        <is>
          <t>Home Depot</t>
        </is>
      </c>
      <c r="M33" s="5" t="inlineStr">
        <is>
          <t>Generic aluminum drip cap / Z-flashing</t>
        </is>
      </c>
      <c r="N33" s="5" t="inlineStr"/>
      <c r="O33" s="5" t="inlineStr">
        <is>
          <t>TBD</t>
        </is>
      </c>
      <c r="P33" s="5" t="inlineStr">
        <is>
          <t>medium</t>
        </is>
      </c>
      <c r="Q33" s="5" t="inlineStr">
        <is>
          <t>ДОДАНО (review) | ДОДАНО (review): над exterior openings | Ціна збір: 2026-05-28</t>
        </is>
      </c>
    </row>
    <row r="34">
      <c r="A34" s="5" t="n">
        <v>30</v>
      </c>
      <c r="B34" s="5" t="inlineStr">
        <is>
          <t>Openings</t>
        </is>
      </c>
      <c r="C34" s="5" t="inlineStr">
        <is>
          <t>Finish</t>
        </is>
      </c>
      <c r="D34" s="5" t="inlineStr">
        <is>
          <t>Interior Paintable Caulk</t>
        </is>
      </c>
      <c r="E34" s="5" t="inlineStr">
        <is>
          <t>Для casing/trim joints</t>
        </is>
      </c>
      <c r="F34" s="5" t="inlineStr">
        <is>
          <t>tubes</t>
        </is>
      </c>
      <c r="G34" s="27" t="n">
        <v>6</v>
      </c>
      <c r="H34" s="27" t="n">
        <v>8</v>
      </c>
      <c r="I34" s="27" t="n">
        <v>10</v>
      </c>
      <c r="J34" s="22" t="n">
        <v>5</v>
      </c>
      <c r="K34" s="22">
        <f>IF(OR(H34="",J34="",J34=0),"",H34*J34)</f>
        <v/>
      </c>
      <c r="L34" s="5" t="inlineStr">
        <is>
          <t>Home Depot</t>
        </is>
      </c>
      <c r="M34" s="5" t="inlineStr">
        <is>
          <t>DAP Alex Plus paintable caulk</t>
        </is>
      </c>
      <c r="N34" s="5" t="inlineStr"/>
      <c r="O34" s="5" t="inlineStr">
        <is>
          <t>Confirmed</t>
        </is>
      </c>
      <c r="P34" s="5" t="inlineStr">
        <is>
          <t>medium</t>
        </is>
      </c>
      <c r="Q34" s="5" t="inlineStr">
        <is>
          <t>ДОДАНО (review) | ДОДАНО (review): casing/trim joints | Ціна збір: 2026-05-28</t>
        </is>
      </c>
    </row>
    <row r="36">
      <c r="A36" s="8" t="n"/>
      <c r="B36" s="8" t="n"/>
      <c r="C36" s="9" t="inlineStr">
        <is>
          <t>ПІДСУМОК ФАЗИ</t>
        </is>
      </c>
      <c r="D36" s="8" t="n"/>
      <c r="E36" s="8" t="n"/>
      <c r="F36" s="8" t="n"/>
      <c r="G36" s="8" t="n"/>
      <c r="H36" s="8" t="n"/>
      <c r="I36" s="8" t="n"/>
      <c r="J36" s="8" t="n"/>
      <c r="K36" s="24">
        <f>SUM(K5:K34)</f>
        <v/>
      </c>
      <c r="L36" s="8" t="n"/>
      <c r="M36" s="8" t="n"/>
      <c r="N36" s="8" t="n"/>
      <c r="O36" s="8" t="n"/>
      <c r="P36" s="8" t="n"/>
      <c r="Q36" s="8" t="n"/>
    </row>
  </sheetData>
  <autoFilter ref="A4:Q34"/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5 — Plumbing Rough-in (§20)</t>
        </is>
      </c>
    </row>
    <row r="2" ht="18" customHeight="1">
      <c r="A2" s="3" t="inlineStr">
        <is>
          <t>PEX supply + ABS/PVC drain + vent + fittings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Plumbing R-I</t>
        </is>
      </c>
      <c r="C5" s="5" t="inlineStr">
        <is>
          <t>Supply</t>
        </is>
      </c>
      <c r="D5" s="5" t="inlineStr">
        <is>
          <t>PEX Hot/Cold Pipe 1/2"</t>
        </is>
      </c>
      <c r="E5" s="5" t="inlineStr">
        <is>
          <t>PEX-B coil 100 ft</t>
        </is>
      </c>
      <c r="F5" s="5" t="inlineStr">
        <is>
          <t>linear ft</t>
        </is>
      </c>
      <c r="G5" s="27" t="n">
        <v>200</v>
      </c>
      <c r="H5" s="27" t="n">
        <v>230</v>
      </c>
      <c r="I5" s="27" t="n">
        <v>260</v>
      </c>
      <c r="J5" s="22" t="n">
        <v>0.35</v>
      </c>
      <c r="K5" s="22">
        <f>IF(OR(H5="",J5="",J5=0),"",H5*J5)</f>
        <v/>
      </c>
      <c r="L5" s="5" t="inlineStr">
        <is>
          <t>Home Depot</t>
        </is>
      </c>
      <c r="M5" s="5" t="inlineStr">
        <is>
          <t>SharkBite/Apollo PEX-B 1/2" 100ft</t>
        </is>
      </c>
      <c r="N5" s="5" t="inlineStr">
        <is>
          <t>https://www.homedepot.com/p/SharkBite-1-2-in-x-100-ft-Coil-Red-PEX-B-Pipe-U860R100/202033011</t>
        </is>
      </c>
      <c r="O5" s="5" t="inlineStr">
        <is>
          <t>Confirmed</t>
        </is>
      </c>
      <c r="P5" s="5" t="inlineStr">
        <is>
          <t>high</t>
        </is>
      </c>
      <c r="Q5" s="5" t="inlineStr">
        <is>
          <t>$0.35/LF ($35/100ft coil) | Ціна збір: 2026-05-28</t>
        </is>
      </c>
    </row>
    <row r="6">
      <c r="A6" s="5" t="n">
        <v>2</v>
      </c>
      <c r="B6" s="5" t="inlineStr">
        <is>
          <t>Plumbing R-I</t>
        </is>
      </c>
      <c r="C6" s="5" t="inlineStr">
        <is>
          <t>Supply</t>
        </is>
      </c>
      <c r="D6" s="5" t="inlineStr">
        <is>
          <t>PEX Hot/Cold Pipe 3/4"</t>
        </is>
      </c>
      <c r="E6" s="5" t="inlineStr">
        <is>
          <t>Main runs PEX-B</t>
        </is>
      </c>
      <c r="F6" s="5" t="inlineStr">
        <is>
          <t>linear ft</t>
        </is>
      </c>
      <c r="G6" s="27" t="n">
        <v>100</v>
      </c>
      <c r="H6" s="27" t="n">
        <v>120</v>
      </c>
      <c r="I6" s="27" t="n">
        <v>140</v>
      </c>
      <c r="J6" s="22" t="n">
        <v>0.7</v>
      </c>
      <c r="K6" s="22">
        <f>IF(OR(H6="",J6="",J6=0),"",H6*J6)</f>
        <v/>
      </c>
      <c r="L6" s="5" t="inlineStr">
        <is>
          <t>Home Depot</t>
        </is>
      </c>
      <c r="M6" s="5" t="inlineStr">
        <is>
          <t>SharkBite PEX-B 3/4" 100ft</t>
        </is>
      </c>
      <c r="N6" s="5" t="inlineStr"/>
      <c r="O6" s="5" t="inlineStr">
        <is>
          <t>Confirmed</t>
        </is>
      </c>
      <c r="P6" s="5" t="inlineStr">
        <is>
          <t>medium</t>
        </is>
      </c>
      <c r="Q6" s="5" t="inlineStr">
        <is>
          <t>$0.70/LF ($70/100ft coil) | Ціна збір: 2026-05-28</t>
        </is>
      </c>
    </row>
    <row r="7">
      <c r="A7" s="5" t="n">
        <v>3</v>
      </c>
      <c r="B7" s="5" t="inlineStr">
        <is>
          <t>Plumbing R-I</t>
        </is>
      </c>
      <c r="C7" s="5" t="inlineStr">
        <is>
          <t>Supply</t>
        </is>
      </c>
      <c r="D7" s="5" t="inlineStr">
        <is>
          <t>PEX Fittings (assortment)</t>
        </is>
      </c>
      <c r="E7" s="5" t="inlineStr">
        <is>
          <t>Elbows, tees, couplings, crimps</t>
        </is>
      </c>
      <c r="F7" s="5" t="inlineStr">
        <is>
          <t>pack</t>
        </is>
      </c>
      <c r="G7" s="27" t="n">
        <v>2</v>
      </c>
      <c r="H7" s="27" t="n">
        <v>3</v>
      </c>
      <c r="I7" s="27" t="n">
        <v>4</v>
      </c>
      <c r="J7" s="22" t="n">
        <v>25</v>
      </c>
      <c r="K7" s="22">
        <f>IF(OR(H7="",J7="",J7=0),"",H7*J7)</f>
        <v/>
      </c>
      <c r="L7" s="5" t="inlineStr">
        <is>
          <t>Home Depot</t>
        </is>
      </c>
      <c r="M7" s="5" t="inlineStr">
        <is>
          <t>Apollo/SharkBite PEX fittings pack</t>
        </is>
      </c>
      <c r="N7" s="5" t="inlineStr"/>
      <c r="O7" s="5" t="inlineStr">
        <is>
          <t>Confirmed</t>
        </is>
      </c>
      <c r="P7" s="5" t="inlineStr">
        <is>
          <t>medium</t>
        </is>
      </c>
      <c r="Q7" s="5" t="inlineStr">
        <is>
          <t>Assortment: elbows, tees, couplings, crimp rings | Ціна збір: 2026-05-28</t>
        </is>
      </c>
    </row>
    <row r="8">
      <c r="A8" s="5" t="n">
        <v>4</v>
      </c>
      <c r="B8" s="5" t="inlineStr">
        <is>
          <t>Plumbing R-I</t>
        </is>
      </c>
      <c r="C8" s="5" t="inlineStr">
        <is>
          <t>Supply</t>
        </is>
      </c>
      <c r="D8" s="5" t="inlineStr">
        <is>
          <t>Shut-off Valves (1/4-turn)</t>
        </is>
      </c>
      <c r="E8" s="5" t="inlineStr">
        <is>
          <t>Interior fixtures angle stops</t>
        </is>
      </c>
      <c r="F8" s="5" t="inlineStr">
        <is>
          <t>pcs</t>
        </is>
      </c>
      <c r="G8" s="27" t="n">
        <v>16</v>
      </c>
      <c r="H8" s="27" t="n">
        <v>19</v>
      </c>
      <c r="I8" s="27" t="n">
        <v>22</v>
      </c>
      <c r="J8" s="22" t="n">
        <v>7</v>
      </c>
      <c r="K8" s="22">
        <f>IF(OR(H8="",J8="",J8=0),"",H8*J8)</f>
        <v/>
      </c>
      <c r="L8" s="5" t="inlineStr">
        <is>
          <t>Home Depot</t>
        </is>
      </c>
      <c r="M8" s="5" t="inlineStr">
        <is>
          <t>Apollo PEX-B 1/2" angle stop quarter-turn</t>
        </is>
      </c>
      <c r="N8" s="5" t="inlineStr">
        <is>
          <t>https://www.homedepot.com/p/Apollo-1-2-in-Chrome-Plated-Brass-PEX-B-Barb-x-1-4-in-Compression-Quarter-Turn-Angle-Stop-Valve-APXVA1214C/305455212</t>
        </is>
      </c>
      <c r="O8" s="5" t="inlineStr">
        <is>
          <t>Confirmed</t>
        </is>
      </c>
      <c r="P8" s="5" t="inlineStr">
        <is>
          <t>high</t>
        </is>
      </c>
      <c r="Q8" s="5" t="inlineStr">
        <is>
          <t>Per valve, brass chrome-plated | Ціна збір: 2026-05-28</t>
        </is>
      </c>
    </row>
    <row r="9">
      <c r="A9" s="5" t="n">
        <v>5</v>
      </c>
      <c r="B9" s="5" t="inlineStr">
        <is>
          <t>Plumbing R-I</t>
        </is>
      </c>
      <c r="C9" s="5" t="inlineStr">
        <is>
          <t>Drain</t>
        </is>
      </c>
      <c r="D9" s="5" t="inlineStr">
        <is>
          <t>ABS/PVC Drain Pipe 1.5"</t>
        </is>
      </c>
      <c r="E9" s="5" t="inlineStr">
        <is>
          <t>Sink/vanity drains</t>
        </is>
      </c>
      <c r="F9" s="5" t="inlineStr">
        <is>
          <t>linear ft</t>
        </is>
      </c>
      <c r="G9" s="27" t="n">
        <v>30</v>
      </c>
      <c r="H9" s="27" t="n">
        <v>40</v>
      </c>
      <c r="I9" s="27" t="n">
        <v>50</v>
      </c>
      <c r="J9" s="22" t="n">
        <v>0.85</v>
      </c>
      <c r="K9" s="22">
        <f>IF(OR(H9="",J9="",J9=0),"",H9*J9)</f>
        <v/>
      </c>
      <c r="L9" s="5" t="inlineStr">
        <is>
          <t>Home Depot</t>
        </is>
      </c>
      <c r="M9" s="5" t="inlineStr">
        <is>
          <t>Charlotte/IPEX ABS DWV 1.5"</t>
        </is>
      </c>
      <c r="N9" s="5" t="inlineStr"/>
      <c r="O9" s="5" t="inlineStr">
        <is>
          <t>Confirmed</t>
        </is>
      </c>
      <c r="P9" s="5" t="inlineStr">
        <is>
          <t>medium</t>
        </is>
      </c>
      <c r="Q9" s="5" t="inlineStr">
        <is>
          <t>Per LF, DWV grade | Ціна збір: 2026-05-28</t>
        </is>
      </c>
    </row>
    <row r="10">
      <c r="A10" s="5" t="n">
        <v>6</v>
      </c>
      <c r="B10" s="5" t="inlineStr">
        <is>
          <t>Plumbing R-I</t>
        </is>
      </c>
      <c r="C10" s="5" t="inlineStr">
        <is>
          <t>Drain</t>
        </is>
      </c>
      <c r="D10" s="5" t="inlineStr">
        <is>
          <t>ABS/PVC Drain Pipe 2"</t>
        </is>
      </c>
      <c r="E10" s="5" t="inlineStr">
        <is>
          <t>Shower/laundry drains</t>
        </is>
      </c>
      <c r="F10" s="5" t="inlineStr">
        <is>
          <t>linear ft</t>
        </is>
      </c>
      <c r="G10" s="27" t="n">
        <v>40</v>
      </c>
      <c r="H10" s="27" t="n">
        <v>60</v>
      </c>
      <c r="I10" s="27" t="n">
        <v>80</v>
      </c>
      <c r="J10" s="22" t="n">
        <v>1.1</v>
      </c>
      <c r="K10" s="22">
        <f>IF(OR(H10="",J10="",J10=0),"",H10*J10)</f>
        <v/>
      </c>
      <c r="L10" s="5" t="inlineStr">
        <is>
          <t>Home Depot</t>
        </is>
      </c>
      <c r="M10" s="5" t="inlineStr">
        <is>
          <t>Charlotte/IPEX ABS DWV 2"</t>
        </is>
      </c>
      <c r="N10" s="5" t="inlineStr"/>
      <c r="O10" s="5" t="inlineStr">
        <is>
          <t>Confirmed</t>
        </is>
      </c>
      <c r="P10" s="5" t="inlineStr">
        <is>
          <t>medium</t>
        </is>
      </c>
      <c r="Q10" s="5" t="inlineStr">
        <is>
          <t>Per LF | Ціна збір: 2026-05-28</t>
        </is>
      </c>
    </row>
    <row r="11">
      <c r="A11" s="5" t="n">
        <v>7</v>
      </c>
      <c r="B11" s="5" t="inlineStr">
        <is>
          <t>Plumbing R-I</t>
        </is>
      </c>
      <c r="C11" s="5" t="inlineStr">
        <is>
          <t>Drain</t>
        </is>
      </c>
      <c r="D11" s="5" t="inlineStr">
        <is>
          <t>ABS/PVC Drain Pipe 3"</t>
        </is>
      </c>
      <c r="E11" s="5" t="inlineStr">
        <is>
          <t>Branch + toilet drain</t>
        </is>
      </c>
      <c r="F11" s="5" t="inlineStr">
        <is>
          <t>linear ft</t>
        </is>
      </c>
      <c r="G11" s="27" t="n">
        <v>20</v>
      </c>
      <c r="H11" s="27" t="n">
        <v>30</v>
      </c>
      <c r="I11" s="27" t="n">
        <v>40</v>
      </c>
      <c r="J11" s="22" t="n">
        <v>1.8</v>
      </c>
      <c r="K11" s="22">
        <f>IF(OR(H11="",J11="",J11=0),"",H11*J11)</f>
        <v/>
      </c>
      <c r="L11" s="5" t="inlineStr">
        <is>
          <t>Home Depot</t>
        </is>
      </c>
      <c r="M11" s="5" t="inlineStr">
        <is>
          <t>Charlotte/IPEX ABS DWV 3"</t>
        </is>
      </c>
      <c r="N11" s="5" t="inlineStr"/>
      <c r="O11" s="5" t="inlineStr">
        <is>
          <t>Confirmed</t>
        </is>
      </c>
      <c r="P11" s="5" t="inlineStr">
        <is>
          <t>medium</t>
        </is>
      </c>
      <c r="Q11" s="5" t="inlineStr">
        <is>
          <t>Per LF, for toilet drain | Ціна збір: 2026-05-28</t>
        </is>
      </c>
    </row>
    <row r="12">
      <c r="A12" s="5" t="n">
        <v>8</v>
      </c>
      <c r="B12" s="5" t="inlineStr">
        <is>
          <t>Plumbing R-I</t>
        </is>
      </c>
      <c r="C12" s="5" t="inlineStr">
        <is>
          <t>Drain</t>
        </is>
      </c>
      <c r="D12" s="5" t="inlineStr">
        <is>
          <t>ABS/PVC Drain Pipe 4"</t>
        </is>
      </c>
      <c r="E12" s="5" t="inlineStr">
        <is>
          <t>Main building drain</t>
        </is>
      </c>
      <c r="F12" s="5" t="inlineStr">
        <is>
          <t>linear ft</t>
        </is>
      </c>
      <c r="G12" s="27" t="n">
        <v>15</v>
      </c>
      <c r="H12" s="27" t="n">
        <v>20</v>
      </c>
      <c r="I12" s="27" t="n">
        <v>25</v>
      </c>
      <c r="J12" s="22" t="n">
        <v>3</v>
      </c>
      <c r="K12" s="22">
        <f>IF(OR(H12="",J12="",J12=0),"",H12*J12)</f>
        <v/>
      </c>
      <c r="L12" s="5" t="inlineStr">
        <is>
          <t>Home Depot</t>
        </is>
      </c>
      <c r="M12" s="5" t="inlineStr">
        <is>
          <t>IPEX ABS DWV 4" 10ft</t>
        </is>
      </c>
      <c r="N12" s="5" t="inlineStr">
        <is>
          <t>https://www.homedepot.com/p/IPEX-4-in-x-10-ft-ABS-DWV-Cell-Core-Pipe-179687/309282462</t>
        </is>
      </c>
      <c r="O12" s="5" t="inlineStr">
        <is>
          <t>Confirmed</t>
        </is>
      </c>
      <c r="P12" s="5" t="inlineStr">
        <is>
          <t>medium</t>
        </is>
      </c>
      <c r="Q12" s="5" t="inlineStr">
        <is>
          <t>$3/LF ($30/10ft piece). Cell core ABS | Ціна збір: 2026-05-28</t>
        </is>
      </c>
    </row>
    <row r="13">
      <c r="A13" s="5" t="n">
        <v>9</v>
      </c>
      <c r="B13" s="5" t="inlineStr">
        <is>
          <t>Plumbing R-I</t>
        </is>
      </c>
      <c r="C13" s="5" t="inlineStr">
        <is>
          <t>Vent</t>
        </is>
      </c>
      <c r="D13" s="5" t="inlineStr">
        <is>
          <t>Vent Pipe</t>
        </is>
      </c>
      <c r="E13" s="5" t="inlineStr">
        <is>
          <t>ABS/PVC 1.5-2"</t>
        </is>
      </c>
      <c r="F13" s="5" t="inlineStr">
        <is>
          <t>linear ft</t>
        </is>
      </c>
      <c r="G13" s="27" t="n">
        <v>20</v>
      </c>
      <c r="H13" s="27" t="n">
        <v>30</v>
      </c>
      <c r="I13" s="27" t="n">
        <v>40</v>
      </c>
      <c r="J13" s="22" t="n">
        <v>0.95</v>
      </c>
      <c r="K13" s="22">
        <f>IF(OR(H13="",J13="",J13=0),"",H13*J13)</f>
        <v/>
      </c>
      <c r="L13" s="5" t="inlineStr">
        <is>
          <t>Home Depot</t>
        </is>
      </c>
      <c r="M13" s="5" t="inlineStr">
        <is>
          <t>Charlotte ABS DWV 2" vent</t>
        </is>
      </c>
      <c r="N13" s="5" t="inlineStr"/>
      <c r="O13" s="5" t="inlineStr">
        <is>
          <t>Confirmed</t>
        </is>
      </c>
      <c r="P13" s="5" t="inlineStr">
        <is>
          <t>medium</t>
        </is>
      </c>
      <c r="Q13" s="5" t="inlineStr">
        <is>
          <t>Per LF | Ціна збір: 2026-05-28</t>
        </is>
      </c>
    </row>
    <row r="14">
      <c r="A14" s="5" t="n">
        <v>10</v>
      </c>
      <c r="B14" s="5" t="inlineStr">
        <is>
          <t>Plumbing R-I</t>
        </is>
      </c>
      <c r="C14" s="5" t="inlineStr">
        <is>
          <t>Fittings</t>
        </is>
      </c>
      <c r="D14" s="5" t="inlineStr">
        <is>
          <t>P-traps</t>
        </is>
      </c>
      <c r="E14" s="5" t="inlineStr">
        <is>
          <t>Sinks, shower, washer</t>
        </is>
      </c>
      <c r="F14" s="5" t="inlineStr">
        <is>
          <t>pcs</t>
        </is>
      </c>
      <c r="G14" s="27" t="n">
        <v>4</v>
      </c>
      <c r="H14" s="27" t="n">
        <v>4</v>
      </c>
      <c r="I14" s="27" t="n">
        <v>5</v>
      </c>
      <c r="J14" s="22" t="n">
        <v>8</v>
      </c>
      <c r="K14" s="22">
        <f>IF(OR(H14="",J14="",J14=0),"",H14*J14)</f>
        <v/>
      </c>
      <c r="L14" s="5" t="inlineStr">
        <is>
          <t>Home Depot</t>
        </is>
      </c>
      <c r="M14" s="5" t="inlineStr">
        <is>
          <t>Oatey/generic P-trap kit</t>
        </is>
      </c>
      <c r="N14" s="5" t="inlineStr"/>
      <c r="O14" s="5" t="inlineStr">
        <is>
          <t>Confirmed</t>
        </is>
      </c>
      <c r="P14" s="5" t="inlineStr">
        <is>
          <t>medium</t>
        </is>
      </c>
      <c r="Q14" s="5" t="inlineStr">
        <is>
          <t>1.5" or 2" P-trap | Ціна збір: 2026-05-28</t>
        </is>
      </c>
    </row>
    <row r="15">
      <c r="A15" s="5" t="n">
        <v>11</v>
      </c>
      <c r="B15" s="5" t="inlineStr">
        <is>
          <t>Plumbing R-I</t>
        </is>
      </c>
      <c r="C15" s="5" t="inlineStr">
        <is>
          <t>Fittings</t>
        </is>
      </c>
      <c r="D15" s="5" t="inlineStr">
        <is>
          <t>Cleanouts (interior)</t>
        </is>
      </c>
      <c r="E15" s="5" t="inlineStr">
        <is>
          <t>Body + plug</t>
        </is>
      </c>
      <c r="F15" s="5" t="inlineStr">
        <is>
          <t>pcs</t>
        </is>
      </c>
      <c r="G15" s="27" t="n">
        <v>2</v>
      </c>
      <c r="H15" s="27" t="n">
        <v>2</v>
      </c>
      <c r="I15" s="27" t="n">
        <v>3</v>
      </c>
      <c r="J15" s="22" t="n">
        <v>20</v>
      </c>
      <c r="K15" s="22">
        <f>IF(OR(H15="",J15="",J15=0),"",H15*J15)</f>
        <v/>
      </c>
      <c r="L15" s="5" t="inlineStr">
        <is>
          <t>Home Depot</t>
        </is>
      </c>
      <c r="M15" s="5" t="inlineStr">
        <is>
          <t>Charlotte 4" ABS cleanout</t>
        </is>
      </c>
      <c r="N15" s="5" t="inlineStr"/>
      <c r="O15" s="5" t="inlineStr">
        <is>
          <t>Confirmed</t>
        </is>
      </c>
      <c r="P15" s="5" t="inlineStr">
        <is>
          <t>medium</t>
        </is>
      </c>
      <c r="Q15" s="5" t="inlineStr">
        <is>
          <t>Body + threaded plug | Ціна збір: 2026-05-28</t>
        </is>
      </c>
    </row>
    <row r="16">
      <c r="A16" s="5" t="n">
        <v>12</v>
      </c>
      <c r="B16" s="5" t="inlineStr">
        <is>
          <t>Plumbing R-I</t>
        </is>
      </c>
      <c r="C16" s="5" t="inlineStr">
        <is>
          <t>Fittings</t>
        </is>
      </c>
      <c r="D16" s="5" t="inlineStr">
        <is>
          <t>Pipe Clamps / Hangers</t>
        </is>
      </c>
      <c r="E16" s="5" t="inlineStr">
        <is>
          <t>ABS strut/strap pack</t>
        </is>
      </c>
      <c r="F16" s="5" t="inlineStr">
        <is>
          <t>pack</t>
        </is>
      </c>
      <c r="G16" s="27" t="n">
        <v>2</v>
      </c>
      <c r="H16" s="27" t="n">
        <v>3</v>
      </c>
      <c r="I16" s="27" t="n">
        <v>4</v>
      </c>
      <c r="J16" s="22" t="n">
        <v>15</v>
      </c>
      <c r="K16" s="22">
        <f>IF(OR(H16="",J16="",J16=0),"",H16*J16)</f>
        <v/>
      </c>
      <c r="L16" s="5" t="inlineStr">
        <is>
          <t>Home Depot</t>
        </is>
      </c>
      <c r="M16" s="5" t="inlineStr">
        <is>
          <t>Sioux Chief strut/strap pack</t>
        </is>
      </c>
      <c r="N16" s="5" t="inlineStr"/>
      <c r="O16" s="5" t="inlineStr">
        <is>
          <t>Confirmed</t>
        </is>
      </c>
      <c r="P16" s="5" t="inlineStr">
        <is>
          <t>medium</t>
        </is>
      </c>
      <c r="Q16" s="5" t="inlineStr">
        <is>
          <t>Per pack — pipe hangers/clamps | Ціна збір: 2026-05-28</t>
        </is>
      </c>
    </row>
    <row r="17">
      <c r="A17" s="5" t="n">
        <v>13</v>
      </c>
      <c r="B17" s="5" t="inlineStr">
        <is>
          <t>Plumbing R-I</t>
        </is>
      </c>
      <c r="C17" s="5" t="inlineStr">
        <is>
          <t>Fittings</t>
        </is>
      </c>
      <c r="D17" s="5" t="inlineStr">
        <is>
          <t>Primer / Cement ABS-PVC</t>
        </is>
      </c>
      <c r="E17" s="5" t="inlineStr">
        <is>
          <t>Solvent weld</t>
        </is>
      </c>
      <c r="F17" s="5" t="inlineStr">
        <is>
          <t>cans</t>
        </is>
      </c>
      <c r="G17" s="27" t="n">
        <v>2</v>
      </c>
      <c r="H17" s="27" t="n">
        <v>3</v>
      </c>
      <c r="I17" s="27" t="n">
        <v>4</v>
      </c>
      <c r="J17" s="22" t="n">
        <v>12</v>
      </c>
      <c r="K17" s="22">
        <f>IF(OR(H17="",J17="",J17=0),"",H17*J17)</f>
        <v/>
      </c>
      <c r="L17" s="5" t="inlineStr">
        <is>
          <t>Home Depot</t>
        </is>
      </c>
      <c r="M17" s="5" t="inlineStr">
        <is>
          <t>Oatey ABS primer + cement combo</t>
        </is>
      </c>
      <c r="N17" s="5" t="inlineStr"/>
      <c r="O17" s="5" t="inlineStr">
        <is>
          <t>Confirmed</t>
        </is>
      </c>
      <c r="P17" s="5" t="inlineStr">
        <is>
          <t>medium</t>
        </is>
      </c>
      <c r="Q17" s="5" t="inlineStr">
        <is>
          <t>Per can | Ціна збір: 2026-05-28</t>
        </is>
      </c>
    </row>
    <row r="18">
      <c r="A18" s="5" t="n">
        <v>14</v>
      </c>
      <c r="B18" s="5" t="inlineStr">
        <is>
          <t>Plumbing R-I</t>
        </is>
      </c>
      <c r="C18" s="5" t="inlineStr">
        <is>
          <t>Misc</t>
        </is>
      </c>
      <c r="D18" s="5" t="inlineStr">
        <is>
          <t>Washer Outlet Box</t>
        </is>
      </c>
      <c r="E18" s="5" t="inlineStr">
        <is>
          <t>Recessed, hot/cold + drain</t>
        </is>
      </c>
      <c r="F18" s="5" t="inlineStr">
        <is>
          <t>pcs</t>
        </is>
      </c>
      <c r="G18" s="27" t="n">
        <v>1</v>
      </c>
      <c r="H18" s="27" t="n">
        <v>1</v>
      </c>
      <c r="I18" s="27" t="n">
        <v>1</v>
      </c>
      <c r="J18" s="22" t="n">
        <v>40</v>
      </c>
      <c r="K18" s="22">
        <f>IF(OR(H18="",J18="",J18=0),"",H18*J18)</f>
        <v/>
      </c>
      <c r="L18" s="5" t="inlineStr">
        <is>
          <t>Home Depot</t>
        </is>
      </c>
      <c r="M18" s="5" t="inlineStr">
        <is>
          <t>Sioux Chief / LSP washer outlet box</t>
        </is>
      </c>
      <c r="N18" s="5" t="inlineStr"/>
      <c r="O18" s="5" t="inlineStr">
        <is>
          <t>Confirmed</t>
        </is>
      </c>
      <c r="P18" s="5" t="inlineStr">
        <is>
          <t>medium</t>
        </is>
      </c>
      <c r="Q18" s="5" t="inlineStr">
        <is>
          <t>Recessed hot/cold + drain box | Ціна збір: 2026-05-28</t>
        </is>
      </c>
    </row>
    <row r="19">
      <c r="A19" s="5" t="n">
        <v>15</v>
      </c>
      <c r="B19" s="5" t="inlineStr">
        <is>
          <t>Plumbing R-I</t>
        </is>
      </c>
      <c r="C19" s="5" t="inlineStr">
        <is>
          <t>Misc</t>
        </is>
      </c>
      <c r="D19" s="5" t="inlineStr">
        <is>
          <t>Toilet Flange</t>
        </is>
      </c>
      <c r="E19" s="5" t="inlineStr">
        <is>
          <t>PVC/ABS w/ ring</t>
        </is>
      </c>
      <c r="F19" s="5" t="inlineStr">
        <is>
          <t>pcs</t>
        </is>
      </c>
      <c r="G19" s="27" t="n">
        <v>1</v>
      </c>
      <c r="H19" s="27" t="n">
        <v>1</v>
      </c>
      <c r="I19" s="27" t="n">
        <v>1</v>
      </c>
      <c r="J19" s="22" t="n">
        <v>12</v>
      </c>
      <c r="K19" s="22">
        <f>IF(OR(H19="",J19="",J19=0),"",H19*J19)</f>
        <v/>
      </c>
      <c r="L19" s="5" t="inlineStr">
        <is>
          <t>Home Depot</t>
        </is>
      </c>
      <c r="M19" s="5" t="inlineStr">
        <is>
          <t>Oatey ABS toilet flange w/ ring</t>
        </is>
      </c>
      <c r="N19" s="5" t="inlineStr"/>
      <c r="O19" s="5" t="inlineStr">
        <is>
          <t>Confirmed</t>
        </is>
      </c>
      <c r="P19" s="5" t="inlineStr">
        <is>
          <t>medium</t>
        </is>
      </c>
      <c r="Q19" s="5" t="inlineStr">
        <is>
          <t>Standard 3" or 4" | Ціна збір: 2026-05-28</t>
        </is>
      </c>
    </row>
    <row r="20">
      <c r="A20" s="5" t="n">
        <v>16</v>
      </c>
      <c r="B20" s="5" t="inlineStr">
        <is>
          <t>Plumbing R-I</t>
        </is>
      </c>
      <c r="C20" s="5" t="inlineStr">
        <is>
          <t>Misc</t>
        </is>
      </c>
      <c r="D20" s="5" t="inlineStr">
        <is>
          <t>Water Heater Connection Kit</t>
        </is>
      </c>
      <c r="E20" s="5" t="inlineStr">
        <is>
          <t>Flex lines + fittings</t>
        </is>
      </c>
      <c r="F20" s="5" t="inlineStr">
        <is>
          <t>set</t>
        </is>
      </c>
      <c r="G20" s="27" t="n">
        <v>1</v>
      </c>
      <c r="H20" s="27" t="n">
        <v>1</v>
      </c>
      <c r="I20" s="27" t="n">
        <v>1</v>
      </c>
      <c r="J20" s="22" t="n">
        <v>50</v>
      </c>
      <c r="K20" s="22">
        <f>IF(OR(H20="",J20="",J20=0),"",H20*J20)</f>
        <v/>
      </c>
      <c r="L20" s="5" t="inlineStr">
        <is>
          <t>Home Depot</t>
        </is>
      </c>
      <c r="M20" s="5" t="inlineStr">
        <is>
          <t>WH connection kit (flex lines + dielectric)</t>
        </is>
      </c>
      <c r="N20" s="5" t="inlineStr"/>
      <c r="O20" s="5" t="inlineStr">
        <is>
          <t>TBD</t>
        </is>
      </c>
      <c r="P20" s="5" t="inlineStr">
        <is>
          <t>medium</t>
        </is>
      </c>
      <c r="Q20" s="5" t="inlineStr">
        <is>
          <t>Coordinate w/ Phase 15 Water Heater | Coordinate Phase 15 WH | Ціна збір: 2026-05-28</t>
        </is>
      </c>
    </row>
    <row r="21">
      <c r="A21" s="5" t="n">
        <v>17</v>
      </c>
      <c r="B21" s="5" t="inlineStr">
        <is>
          <t>Plumbing R-I</t>
        </is>
      </c>
      <c r="C21" s="5" t="inlineStr">
        <is>
          <t>Misc</t>
        </is>
      </c>
      <c r="D21" s="5" t="inlineStr">
        <is>
          <t>Pipe Insulation (interior)</t>
        </is>
      </c>
      <c r="E21" s="5" t="inlineStr">
        <is>
          <t>Hot lines foam 1/2-3/4"</t>
        </is>
      </c>
      <c r="F21" s="5" t="inlineStr">
        <is>
          <t>linear ft</t>
        </is>
      </c>
      <c r="G21" s="27" t="n">
        <v>30</v>
      </c>
      <c r="H21" s="27" t="n">
        <v>50</v>
      </c>
      <c r="I21" s="27" t="n">
        <v>70</v>
      </c>
      <c r="J21" s="22" t="n">
        <v>0.5</v>
      </c>
      <c r="K21" s="22">
        <f>IF(OR(H21="",J21="",J21=0),"",H21*J21)</f>
        <v/>
      </c>
      <c r="L21" s="5" t="inlineStr">
        <is>
          <t>Home Depot</t>
        </is>
      </c>
      <c r="M21" s="5" t="inlineStr">
        <is>
          <t>Armaflex foam 1/2"-3/4"</t>
        </is>
      </c>
      <c r="N21" s="5" t="inlineStr"/>
      <c r="O21" s="5" t="inlineStr">
        <is>
          <t>Confirmed</t>
        </is>
      </c>
      <c r="P21" s="5" t="inlineStr">
        <is>
          <t>medium</t>
        </is>
      </c>
      <c r="Q21" s="5" t="inlineStr">
        <is>
          <t>Hot line insulation per LF | Ціна збір: 2026-05-28</t>
        </is>
      </c>
    </row>
    <row r="22">
      <c r="A22" s="5" t="n">
        <v>18</v>
      </c>
      <c r="B22" s="5" t="inlineStr">
        <is>
          <t>Plumbing R-I</t>
        </is>
      </c>
      <c r="C22" s="5" t="inlineStr">
        <is>
          <t>Fittings</t>
        </is>
      </c>
      <c r="D22" s="5" t="inlineStr">
        <is>
          <t>ABS/PVC DWV Fittings</t>
        </is>
      </c>
      <c r="E22" s="5" t="inlineStr">
        <is>
          <t>Elbows, couplings, tees, sanitary tees, wyes, reducers</t>
        </is>
      </c>
      <c r="F22" s="5" t="inlineStr">
        <is>
          <t>pack</t>
        </is>
      </c>
      <c r="G22" s="27" t="n">
        <v>2</v>
      </c>
      <c r="H22" s="27" t="n">
        <v>3</v>
      </c>
      <c r="I22" s="27" t="n">
        <v>5</v>
      </c>
      <c r="J22" s="22" t="n">
        <v>50</v>
      </c>
      <c r="K22" s="22">
        <f>IF(OR(H22="",J22="",J22=0),"",H22*J22)</f>
        <v/>
      </c>
      <c r="L22" s="5" t="inlineStr">
        <is>
          <t>Home Depot</t>
        </is>
      </c>
      <c r="M22" s="5" t="inlineStr">
        <is>
          <t>ABS DWV fittings assortment pack</t>
        </is>
      </c>
      <c r="N22" s="5" t="inlineStr"/>
      <c r="O22" s="5" t="inlineStr">
        <is>
          <t>Confirmed</t>
        </is>
      </c>
      <c r="P22" s="5" t="inlineStr">
        <is>
          <t>medium</t>
        </is>
      </c>
      <c r="Q22" s="5" t="inlineStr">
        <is>
          <t>ДОДАНО (§20.3): drain fittings okремо | ДОДАНО: elbows, tees, sanitary tees, wyes, reducers. $50/pack | Ціна збір: 2026-05-28</t>
        </is>
      </c>
    </row>
    <row r="23">
      <c r="A23" s="5" t="n">
        <v>19</v>
      </c>
      <c r="B23" s="5" t="inlineStr">
        <is>
          <t>Plumbing R-I</t>
        </is>
      </c>
      <c r="C23" s="5" t="inlineStr">
        <is>
          <t>Misc</t>
        </is>
      </c>
      <c r="D23" s="5" t="inlineStr">
        <is>
          <t>Washer Standpipe</t>
        </is>
      </c>
      <c r="E23" s="5" t="inlineStr">
        <is>
          <t>2" 18-30" tall</t>
        </is>
      </c>
      <c r="F23" s="5" t="inlineStr">
        <is>
          <t>pcs</t>
        </is>
      </c>
      <c r="G23" s="27" t="n">
        <v>1</v>
      </c>
      <c r="H23" s="27" t="n">
        <v>1</v>
      </c>
      <c r="I23" s="27" t="n">
        <v>1</v>
      </c>
      <c r="J23" s="22" t="n">
        <v>15</v>
      </c>
      <c r="K23" s="22">
        <f>IF(OR(H23="",J23="",J23=0),"",H23*J23)</f>
        <v/>
      </c>
      <c r="L23" s="5" t="inlineStr">
        <is>
          <t>Home Depot</t>
        </is>
      </c>
      <c r="M23" s="5" t="inlineStr">
        <is>
          <t>2" PVC/ABS washer standpipe</t>
        </is>
      </c>
      <c r="N23" s="5" t="inlineStr"/>
      <c r="O23" s="5" t="inlineStr">
        <is>
          <t>Confirmed</t>
        </is>
      </c>
      <c r="P23" s="5" t="inlineStr">
        <is>
          <t>medium</t>
        </is>
      </c>
      <c r="Q23" s="5" t="inlineStr">
        <is>
          <t>ДОДАНО (§20.3): окремо від outlet box | ДОДАНО (§20.3) | Ціна збір: 2026-05-28</t>
        </is>
      </c>
    </row>
    <row r="24">
      <c r="A24" s="5" t="n">
        <v>20</v>
      </c>
      <c r="B24" s="5" t="inlineStr">
        <is>
          <t>Plumbing R-I</t>
        </is>
      </c>
      <c r="C24" s="5" t="inlineStr">
        <is>
          <t>Misc</t>
        </is>
      </c>
      <c r="D24" s="5" t="inlineStr">
        <is>
          <t>Dishwasher Connection Kit</t>
        </is>
      </c>
      <c r="E24" s="5" t="inlineStr">
        <is>
          <t>Tee + brass elbow + 3/8 supply</t>
        </is>
      </c>
      <c r="F24" s="5" t="inlineStr">
        <is>
          <t>set</t>
        </is>
      </c>
      <c r="G24" s="27" t="n">
        <v>1</v>
      </c>
      <c r="H24" s="27" t="n">
        <v>1</v>
      </c>
      <c r="I24" s="27" t="n">
        <v>1</v>
      </c>
      <c r="J24" s="22" t="n">
        <v>25</v>
      </c>
      <c r="K24" s="22">
        <f>IF(OR(H24="",J24="",J24=0),"",H24*J24)</f>
        <v/>
      </c>
      <c r="L24" s="5" t="inlineStr">
        <is>
          <t>Home Depot</t>
        </is>
      </c>
      <c r="M24" s="5" t="inlineStr">
        <is>
          <t>Generic dishwasher install kit</t>
        </is>
      </c>
      <c r="N24" s="5" t="inlineStr"/>
      <c r="O24" s="5" t="inlineStr">
        <is>
          <t>Confirmed</t>
        </is>
      </c>
      <c r="P24" s="5" t="inlineStr">
        <is>
          <t>medium</t>
        </is>
      </c>
      <c r="Q24" s="5" t="inlineStr">
        <is>
          <t>ДОДАНО (§20.3) | ДОДАНО: tee + elbow + supply line | Ціна збір: 2026-05-28</t>
        </is>
      </c>
    </row>
    <row r="25">
      <c r="A25" s="5" t="n">
        <v>21</v>
      </c>
      <c r="B25" s="5" t="inlineStr">
        <is>
          <t>Plumbing R-I</t>
        </is>
      </c>
      <c r="C25" s="5" t="inlineStr">
        <is>
          <t>Vent</t>
        </is>
      </c>
      <c r="D25" s="5" t="inlineStr">
        <is>
          <t>Vent Stack Roof Boot / Flashing</t>
        </is>
      </c>
      <c r="E25" s="5" t="inlineStr">
        <is>
          <t>Oatey No-Calk pipe boot</t>
        </is>
      </c>
      <c r="F25" s="5" t="inlineStr">
        <is>
          <t>pcs</t>
        </is>
      </c>
      <c r="G25" s="27" t="n">
        <v>1</v>
      </c>
      <c r="H25" s="27" t="n">
        <v>1</v>
      </c>
      <c r="I25" s="27" t="n">
        <v>2</v>
      </c>
      <c r="J25" s="22" t="n">
        <v>20</v>
      </c>
      <c r="K25" s="22">
        <f>IF(OR(H25="",J25="",J25=0),"",H25*J25)</f>
        <v/>
      </c>
      <c r="L25" s="5" t="inlineStr">
        <is>
          <t>Home Depot</t>
        </is>
      </c>
      <c r="M25" s="5" t="inlineStr">
        <is>
          <t>Oatey No-Calk pipe boot 2"</t>
        </is>
      </c>
      <c r="N25" s="5" t="inlineStr"/>
      <c r="O25" s="5" t="inlineStr">
        <is>
          <t>Confirmed</t>
        </is>
      </c>
      <c r="P25" s="5" t="inlineStr">
        <is>
          <t>medium</t>
        </is>
      </c>
      <c r="Q25" s="5" t="inlineStr">
        <is>
          <t>ДОДАНО: penetration through roof | ДОДАНО: vent stack roof penetration | Ціна збір: 2026-05-28</t>
        </is>
      </c>
    </row>
    <row r="26">
      <c r="A26" s="5" t="n">
        <v>22</v>
      </c>
      <c r="B26" s="5" t="inlineStr">
        <is>
          <t>Plumbing R-I</t>
        </is>
      </c>
      <c r="C26" s="5" t="inlineStr">
        <is>
          <t>Vent</t>
        </is>
      </c>
      <c r="D26" s="5" t="inlineStr">
        <is>
          <t>Air Admittance Valve (AAV)</t>
        </is>
      </c>
      <c r="E26" s="5" t="inlineStr">
        <is>
          <t>Studor Mini / Pro для hard-to-vent</t>
        </is>
      </c>
      <c r="F26" s="5" t="inlineStr">
        <is>
          <t>pcs</t>
        </is>
      </c>
      <c r="G26" s="27" t="n">
        <v>0</v>
      </c>
      <c r="H26" s="27" t="n">
        <v>1</v>
      </c>
      <c r="I26" s="27" t="n">
        <v>2</v>
      </c>
      <c r="J26" s="22" t="n">
        <v>25</v>
      </c>
      <c r="K26" s="22">
        <f>IF(OR(H26="",J26="",J26=0),"",H26*J26)</f>
        <v/>
      </c>
      <c r="L26" s="5" t="inlineStr">
        <is>
          <t>Home Depot</t>
        </is>
      </c>
      <c r="M26" s="5" t="inlineStr">
        <is>
          <t>Studor Mini AAV</t>
        </is>
      </c>
      <c r="N26" s="5" t="inlineStr"/>
      <c r="O26" s="5" t="inlineStr">
        <is>
          <t>TBD</t>
        </is>
      </c>
      <c r="P26" s="5" t="inlineStr">
        <is>
          <t>medium</t>
        </is>
      </c>
      <c r="Q26" s="5" t="inlineStr">
        <is>
          <t>ДОДАНО: alternative venting allowance | ДОДАНО: alternative venting allowance | Ціна збір: 2026-05-28</t>
        </is>
      </c>
    </row>
    <row r="27">
      <c r="A27" s="5" t="n">
        <v>23</v>
      </c>
      <c r="B27" s="5" t="inlineStr">
        <is>
          <t>Plumbing R-I</t>
        </is>
      </c>
      <c r="C27" s="5" t="inlineStr">
        <is>
          <t>Misc</t>
        </is>
      </c>
      <c r="D27" s="5" t="inlineStr">
        <is>
          <t>Refrigerator Water Line Kit</t>
        </is>
      </c>
      <c r="E27" s="5" t="inlineStr">
        <is>
          <t>3/8 PEX + saddle valve + icemaker line</t>
        </is>
      </c>
      <c r="F27" s="5" t="inlineStr">
        <is>
          <t>set</t>
        </is>
      </c>
      <c r="G27" s="27" t="n">
        <v>0</v>
      </c>
      <c r="H27" s="27" t="n">
        <v>1</v>
      </c>
      <c r="I27" s="27" t="n">
        <v>1</v>
      </c>
      <c r="J27" s="22" t="n">
        <v>30</v>
      </c>
      <c r="K27" s="22">
        <f>IF(OR(H27="",J27="",J27=0),"",H27*J27)</f>
        <v/>
      </c>
      <c r="L27" s="5" t="inlineStr">
        <is>
          <t>Home Depot</t>
        </is>
      </c>
      <c r="M27" s="5" t="inlineStr">
        <is>
          <t>Generic refrigerator water line kit</t>
        </is>
      </c>
      <c r="N27" s="5" t="inlineStr"/>
      <c r="O27" s="5" t="inlineStr">
        <is>
          <t>TBD</t>
        </is>
      </c>
      <c r="P27" s="5" t="inlineStr">
        <is>
          <t>medium</t>
        </is>
      </c>
      <c r="Q27" s="5" t="inlineStr">
        <is>
          <t>ДОДАНО (§20.1 optional) | ДОДАНО: 3/8 PEX + saddle + icemaker — optional | Ціна збір: 2026-05-28</t>
        </is>
      </c>
    </row>
    <row r="28">
      <c r="A28" s="5" t="n">
        <v>24</v>
      </c>
      <c r="B28" s="5" t="inlineStr">
        <is>
          <t>Plumbing R-I</t>
        </is>
      </c>
      <c r="C28" s="5" t="inlineStr">
        <is>
          <t>Misc</t>
        </is>
      </c>
      <c r="D28" s="5" t="inlineStr">
        <is>
          <t>Hammer Arrestors</t>
        </is>
      </c>
      <c r="E28" s="5" t="inlineStr">
        <is>
          <t>Washer + dishwasher water hammer</t>
        </is>
      </c>
      <c r="F28" s="5" t="inlineStr">
        <is>
          <t>pcs</t>
        </is>
      </c>
      <c r="G28" s="27" t="n">
        <v>2</v>
      </c>
      <c r="H28" s="27" t="n">
        <v>2</v>
      </c>
      <c r="I28" s="27" t="n">
        <v>3</v>
      </c>
      <c r="J28" s="22" t="n">
        <v>12</v>
      </c>
      <c r="K28" s="22">
        <f>IF(OR(H28="",J28="",J28=0),"",H28*J28)</f>
        <v/>
      </c>
      <c r="L28" s="5" t="inlineStr">
        <is>
          <t>Home Depot</t>
        </is>
      </c>
      <c r="M28" s="5" t="inlineStr">
        <is>
          <t>Sioux Chief mini-rester hammer arrestor</t>
        </is>
      </c>
      <c r="N28" s="5" t="inlineStr"/>
      <c r="O28" s="5" t="inlineStr">
        <is>
          <t>Confirmed</t>
        </is>
      </c>
      <c r="P28" s="5" t="inlineStr">
        <is>
          <t>medium</t>
        </is>
      </c>
      <c r="Q28" s="5" t="inlineStr">
        <is>
          <t>ДОДАНО: prevent water hammer | ДОДАНО: washer + dishwasher | Ціна збір: 2026-05-28</t>
        </is>
      </c>
    </row>
    <row r="29">
      <c r="A29" s="5" t="n">
        <v>25</v>
      </c>
      <c r="B29" s="5" t="inlineStr">
        <is>
          <t>Plumbing R-I</t>
        </is>
      </c>
      <c r="C29" s="5" t="inlineStr">
        <is>
          <t>Sealants</t>
        </is>
      </c>
      <c r="D29" s="5" t="inlineStr">
        <is>
          <t>Pipe Sealant / Teflon Tape / Pipe Dope</t>
        </is>
      </c>
      <c r="E29" s="5" t="inlineStr">
        <is>
          <t>Threaded connections</t>
        </is>
      </c>
      <c r="F29" s="5" t="inlineStr">
        <is>
          <t>set</t>
        </is>
      </c>
      <c r="G29" s="27" t="n">
        <v>1</v>
      </c>
      <c r="H29" s="27" t="n">
        <v>1</v>
      </c>
      <c r="I29" s="27" t="n">
        <v>1</v>
      </c>
      <c r="J29" s="22" t="n">
        <v>15</v>
      </c>
      <c r="K29" s="22">
        <f>IF(OR(H29="",J29="",J29=0),"",H29*J29)</f>
        <v/>
      </c>
      <c r="L29" s="5" t="inlineStr">
        <is>
          <t>Home Depot</t>
        </is>
      </c>
      <c r="M29" s="5" t="inlineStr">
        <is>
          <t>Rectorseal + Teflon tape combo</t>
        </is>
      </c>
      <c r="N29" s="5" t="inlineStr"/>
      <c r="O29" s="5" t="inlineStr">
        <is>
          <t>Confirmed</t>
        </is>
      </c>
      <c r="P29" s="5" t="inlineStr">
        <is>
          <t>medium</t>
        </is>
      </c>
      <c r="Q29" s="5" t="inlineStr">
        <is>
          <t>ДОДАНО: Rectorseal + Teflon roll combo | ДОДАНО: threaded connections | Ціна збір: 2026-05-28</t>
        </is>
      </c>
    </row>
    <row r="30">
      <c r="A30" s="5" t="n">
        <v>26</v>
      </c>
      <c r="B30" s="5" t="inlineStr">
        <is>
          <t>Plumbing R-I</t>
        </is>
      </c>
      <c r="C30" s="5" t="inlineStr">
        <is>
          <t>Fittings</t>
        </is>
      </c>
      <c r="D30" s="5" t="inlineStr">
        <is>
          <t>Threaded Brass Adapters</t>
        </is>
      </c>
      <c r="E30" s="5" t="inlineStr">
        <is>
          <t>PEX-to-threaded fittings</t>
        </is>
      </c>
      <c r="F30" s="5" t="inlineStr">
        <is>
          <t>pack</t>
        </is>
      </c>
      <c r="G30" s="27" t="n">
        <v>1</v>
      </c>
      <c r="H30" s="27" t="n">
        <v>2</v>
      </c>
      <c r="I30" s="27" t="n">
        <v>3</v>
      </c>
      <c r="J30" s="22" t="n">
        <v>25</v>
      </c>
      <c r="K30" s="22">
        <f>IF(OR(H30="",J30="",J30=0),"",H30*J30)</f>
        <v/>
      </c>
      <c r="L30" s="5" t="inlineStr">
        <is>
          <t>Home Depot</t>
        </is>
      </c>
      <c r="M30" s="5" t="inlineStr">
        <is>
          <t>Generic PEX-to-NPT brass adapters pack</t>
        </is>
      </c>
      <c r="N30" s="5" t="inlineStr"/>
      <c r="O30" s="5" t="inlineStr">
        <is>
          <t>Confirmed</t>
        </is>
      </c>
      <c r="P30" s="5" t="inlineStr">
        <is>
          <t>medium</t>
        </is>
      </c>
      <c r="Q30" s="5" t="inlineStr">
        <is>
          <t>ДОДАНО: для sink supply / WH | ДОДАНО: sink supply, WH connections | Ціна збір: 2026-05-28</t>
        </is>
      </c>
    </row>
    <row r="31">
      <c r="A31" s="5" t="n">
        <v>27</v>
      </c>
      <c r="B31" s="5" t="inlineStr">
        <is>
          <t>Plumbing R-I</t>
        </is>
      </c>
      <c r="C31" s="5" t="inlineStr">
        <is>
          <t>Misc</t>
        </is>
      </c>
      <c r="D31" s="5" t="inlineStr">
        <is>
          <t>Stub-out Covers + Test Caps + Escutcheons</t>
        </is>
      </c>
      <c r="E31" s="5" t="inlineStr">
        <is>
          <t>Finish wall penetrations + drain testing</t>
        </is>
      </c>
      <c r="F31" s="5" t="inlineStr">
        <is>
          <t>set</t>
        </is>
      </c>
      <c r="G31" s="27" t="n">
        <v>1</v>
      </c>
      <c r="H31" s="27" t="n">
        <v>1</v>
      </c>
      <c r="I31" s="27" t="n">
        <v>2</v>
      </c>
      <c r="J31" s="22" t="n">
        <v>25</v>
      </c>
      <c r="K31" s="22">
        <f>IF(OR(H31="",J31="",J31=0),"",H31*J31)</f>
        <v/>
      </c>
      <c r="L31" s="5" t="inlineStr">
        <is>
          <t>Home Depot</t>
        </is>
      </c>
      <c r="M31" s="5" t="inlineStr">
        <is>
          <t>Generic stub-outs + escutcheons + test caps set</t>
        </is>
      </c>
      <c r="N31" s="5" t="inlineStr"/>
      <c r="O31" s="5" t="inlineStr">
        <is>
          <t>Confirmed</t>
        </is>
      </c>
      <c r="P31" s="5" t="inlineStr">
        <is>
          <t>medium</t>
        </is>
      </c>
      <c r="Q31" s="5" t="inlineStr">
        <is>
          <t>ДОДАНО: trim items + pressure test plugs | ДОДАНО: finish + pressure test plugs | Ціна збір: 2026-05-28</t>
        </is>
      </c>
    </row>
    <row r="32">
      <c r="A32" s="5" t="n">
        <v>28</v>
      </c>
      <c r="B32" s="5" t="inlineStr">
        <is>
          <t>Plumbing R-I</t>
        </is>
      </c>
      <c r="C32" s="5" t="inlineStr">
        <is>
          <t>Fixtures RI</t>
        </is>
      </c>
      <c r="D32" s="5" t="inlineStr">
        <is>
          <t>Shower Rough-in Valve Body</t>
        </is>
      </c>
      <c r="E32" s="5" t="inlineStr">
        <is>
          <t>Delta MultiChoice / Moen Posi-Temp</t>
        </is>
      </c>
      <c r="F32" s="5" t="inlineStr">
        <is>
          <t>pcs</t>
        </is>
      </c>
      <c r="G32" s="27" t="n">
        <v>1</v>
      </c>
      <c r="H32" s="27" t="n">
        <v>1</v>
      </c>
      <c r="I32" s="27" t="n">
        <v>1</v>
      </c>
      <c r="J32" s="22" t="n">
        <v>70</v>
      </c>
      <c r="K32" s="22">
        <f>IF(OR(H32="",J32="",J32=0),"",H32*J32)</f>
        <v/>
      </c>
      <c r="L32" s="5" t="inlineStr">
        <is>
          <t>Home Depot</t>
        </is>
      </c>
      <c r="M32" s="5" t="inlineStr">
        <is>
          <t>Delta MultiChoice / Moen Posi-Temp valve body</t>
        </is>
      </c>
      <c r="N32" s="5" t="inlineStr"/>
      <c r="O32" s="5" t="inlineStr">
        <is>
          <t>Confirmed</t>
        </is>
      </c>
      <c r="P32" s="5" t="inlineStr">
        <is>
          <t>medium</t>
        </is>
      </c>
      <c r="Q32" s="5" t="inlineStr">
        <is>
          <t>ДОДАНО (review): rough-in stage. Trim → Phase 13 | ДОДАНО (review): shower rough-in valve. Trim → Phase 13 | Ціна збір: 2026-05-28</t>
        </is>
      </c>
    </row>
    <row r="33">
      <c r="A33" s="5" t="n">
        <v>29</v>
      </c>
      <c r="B33" s="5" t="inlineStr">
        <is>
          <t>Plumbing R-I</t>
        </is>
      </c>
      <c r="C33" s="5" t="inlineStr">
        <is>
          <t>Fixtures RI</t>
        </is>
      </c>
      <c r="D33" s="5" t="inlineStr">
        <is>
          <t>Shower Drain Assembly</t>
        </is>
      </c>
      <c r="E33" s="5" t="inlineStr">
        <is>
          <t>Oatey 2" drain body + strainer</t>
        </is>
      </c>
      <c r="F33" s="5" t="inlineStr">
        <is>
          <t>pcs</t>
        </is>
      </c>
      <c r="G33" s="27" t="n">
        <v>1</v>
      </c>
      <c r="H33" s="27" t="n">
        <v>1</v>
      </c>
      <c r="I33" s="27" t="n">
        <v>1</v>
      </c>
      <c r="J33" s="22" t="n">
        <v>30</v>
      </c>
      <c r="K33" s="22">
        <f>IF(OR(H33="",J33="",J33=0),"",H33*J33)</f>
        <v/>
      </c>
      <c r="L33" s="5" t="inlineStr">
        <is>
          <t>Home Depot</t>
        </is>
      </c>
      <c r="M33" s="5" t="inlineStr">
        <is>
          <t>Oatey 2" shower drain assembly</t>
        </is>
      </c>
      <c r="N33" s="5" t="inlineStr"/>
      <c r="O33" s="5" t="inlineStr">
        <is>
          <t>Confirmed</t>
        </is>
      </c>
      <c r="P33" s="5" t="inlineStr">
        <is>
          <t>medium</t>
        </is>
      </c>
      <c r="Q33" s="5" t="inlineStr">
        <is>
          <t>ДОДАНО (review): connects до 2" drain pipe | ДОДАНО (review): body + strainer | Ціна збір: 2026-05-28</t>
        </is>
      </c>
    </row>
    <row r="34">
      <c r="A34" s="5" t="n">
        <v>30</v>
      </c>
      <c r="B34" s="5" t="inlineStr">
        <is>
          <t>Plumbing R-I</t>
        </is>
      </c>
      <c r="C34" s="5" t="inlineStr">
        <is>
          <t>Supply</t>
        </is>
      </c>
      <c r="D34" s="5" t="inlineStr">
        <is>
          <t>PEX Drop-Ear Elbows</t>
        </is>
      </c>
      <c r="E34" s="5" t="inlineStr">
        <is>
          <t>Sioux Chief 1/2 PEX × 1/2 FNPT для wall stub-outs</t>
        </is>
      </c>
      <c r="F34" s="5" t="inlineStr">
        <is>
          <t>pcs</t>
        </is>
      </c>
      <c r="G34" s="27" t="n">
        <v>4</v>
      </c>
      <c r="H34" s="27" t="n">
        <v>6</v>
      </c>
      <c r="I34" s="27" t="n">
        <v>8</v>
      </c>
      <c r="J34" s="22" t="n">
        <v>6</v>
      </c>
      <c r="K34" s="22">
        <f>IF(OR(H34="",J34="",J34=0),"",H34*J34)</f>
        <v/>
      </c>
      <c r="L34" s="5" t="inlineStr">
        <is>
          <t>Home Depot</t>
        </is>
      </c>
      <c r="M34" s="5" t="inlineStr">
        <is>
          <t>Sioux Chief PEX drop-ear elbow</t>
        </is>
      </c>
      <c r="N34" s="5" t="inlineStr"/>
      <c r="O34" s="5" t="inlineStr">
        <is>
          <t>Confirmed</t>
        </is>
      </c>
      <c r="P34" s="5" t="inlineStr">
        <is>
          <t>medium</t>
        </is>
      </c>
      <c r="Q34" s="5" t="inlineStr">
        <is>
          <t>ДОДАНО (review): для secure fixture wall outlets | ДОДАНО (review): per pc | Ціна збір: 2026-05-28</t>
        </is>
      </c>
    </row>
    <row r="35">
      <c r="A35" s="5" t="n">
        <v>31</v>
      </c>
      <c r="B35" s="5" t="inlineStr">
        <is>
          <t>Plumbing R-I</t>
        </is>
      </c>
      <c r="C35" s="5" t="inlineStr">
        <is>
          <t>Supply</t>
        </is>
      </c>
      <c r="D35" s="5" t="inlineStr">
        <is>
          <t>Extra Crimp Rings / Clamps</t>
        </is>
      </c>
      <c r="E35" s="5" t="inlineStr">
        <is>
          <t>Copper crimp 1/2 + 3/4 pack</t>
        </is>
      </c>
      <c r="F35" s="5" t="inlineStr">
        <is>
          <t>pack</t>
        </is>
      </c>
      <c r="G35" s="27" t="n">
        <v>1</v>
      </c>
      <c r="H35" s="27" t="n">
        <v>1</v>
      </c>
      <c r="I35" s="27" t="n">
        <v>2</v>
      </c>
      <c r="J35" s="22" t="n">
        <v>20</v>
      </c>
      <c r="K35" s="22">
        <f>IF(OR(H35="",J35="",J35=0),"",H35*J35)</f>
        <v/>
      </c>
      <c r="L35" s="5" t="inlineStr">
        <is>
          <t>Home Depot</t>
        </is>
      </c>
      <c r="M35" s="5" t="inlineStr">
        <is>
          <t>Generic copper crimp rings pack</t>
        </is>
      </c>
      <c r="N35" s="5" t="inlineStr"/>
      <c r="O35" s="5" t="inlineStr">
        <is>
          <t>Confirmed</t>
        </is>
      </c>
      <c r="P35" s="5" t="inlineStr">
        <is>
          <t>medium</t>
        </is>
      </c>
      <c r="Q35" s="5" t="inlineStr">
        <is>
          <t>ДОДАНО (review): backup до PEX fittings assortment | ДОДАНО (review): extra crimps | Ціна збір: 2026-05-28</t>
        </is>
      </c>
    </row>
    <row r="36">
      <c r="A36" s="5" t="n">
        <v>32</v>
      </c>
      <c r="B36" s="5" t="inlineStr">
        <is>
          <t>Plumbing R-I</t>
        </is>
      </c>
      <c r="C36" s="5" t="inlineStr">
        <is>
          <t>Misc</t>
        </is>
      </c>
      <c r="D36" s="5" t="inlineStr">
        <is>
          <t>Laundry Drain Pan</t>
        </is>
      </c>
      <c r="E36" s="5" t="inlineStr">
        <is>
          <t>30x32 для stacked washer</t>
        </is>
      </c>
      <c r="F36" s="5" t="inlineStr">
        <is>
          <t>pcs</t>
        </is>
      </c>
      <c r="G36" s="27" t="n">
        <v>1</v>
      </c>
      <c r="H36" s="27" t="n">
        <v>1</v>
      </c>
      <c r="I36" s="27" t="n">
        <v>1</v>
      </c>
      <c r="J36" s="22" t="n">
        <v>30</v>
      </c>
      <c r="K36" s="22">
        <f>IF(OR(H36="",J36="",J36=0),"",H36*J36)</f>
        <v/>
      </c>
      <c r="L36" s="5" t="inlineStr">
        <is>
          <t>Home Depot</t>
        </is>
      </c>
      <c r="M36" s="5" t="inlineStr">
        <is>
          <t>Generic 30x32 washer drain pan</t>
        </is>
      </c>
      <c r="N36" s="5" t="inlineStr"/>
      <c r="O36" s="5" t="inlineStr">
        <is>
          <t>Confirmed</t>
        </is>
      </c>
      <c r="P36" s="5" t="inlineStr">
        <is>
          <t>medium</t>
        </is>
      </c>
      <c r="Q36" s="5" t="inlineStr">
        <is>
          <t>ДОДАНО (review): leak protection під washer | ДОДАНО (review): leak protection | Ціна збір: 2026-05-28</t>
        </is>
      </c>
    </row>
    <row r="37">
      <c r="A37" s="5" t="n">
        <v>33</v>
      </c>
      <c r="B37" s="5" t="inlineStr">
        <is>
          <t>Plumbing R-I</t>
        </is>
      </c>
      <c r="C37" s="5" t="inlineStr">
        <is>
          <t>Misc</t>
        </is>
      </c>
      <c r="D37" s="5" t="inlineStr">
        <is>
          <t>Dishwasher Branch Tailpiece + Air Gap</t>
        </is>
      </c>
      <c r="E37" s="5" t="inlineStr">
        <is>
          <t>Sink connection + CA-required air gap</t>
        </is>
      </c>
      <c r="F37" s="5" t="inlineStr">
        <is>
          <t>set</t>
        </is>
      </c>
      <c r="G37" s="27" t="n">
        <v>1</v>
      </c>
      <c r="H37" s="27" t="n">
        <v>1</v>
      </c>
      <c r="I37" s="27" t="n">
        <v>1</v>
      </c>
      <c r="J37" s="22" t="n">
        <v>30</v>
      </c>
      <c r="K37" s="22">
        <f>IF(OR(H37="",J37="",J37=0),"",H37*J37)</f>
        <v/>
      </c>
      <c r="L37" s="5" t="inlineStr">
        <is>
          <t>Home Depot</t>
        </is>
      </c>
      <c r="M37" s="5" t="inlineStr">
        <is>
          <t>Generic dishwasher branch + air gap</t>
        </is>
      </c>
      <c r="N37" s="5" t="inlineStr"/>
      <c r="O37" s="5" t="inlineStr">
        <is>
          <t>Confirmed</t>
        </is>
      </c>
      <c r="P37" s="5" t="inlineStr">
        <is>
          <t>medium</t>
        </is>
      </c>
      <c r="Q37" s="5" t="inlineStr">
        <is>
          <t>ДОДАНО (review): CA UPC potreba air gap | ДОДАНО (review): CA UPC air gap mandatory | Ціна збір: 2026-05-28</t>
        </is>
      </c>
    </row>
    <row r="38">
      <c r="A38" s="5" t="n">
        <v>34</v>
      </c>
      <c r="B38" s="5" t="inlineStr">
        <is>
          <t>Plumbing R-I</t>
        </is>
      </c>
      <c r="C38" s="5" t="inlineStr">
        <is>
          <t>Misc</t>
        </is>
      </c>
      <c r="D38" s="5" t="inlineStr">
        <is>
          <t>Water Heater Pan + Drain (cross-ref Phase 15)</t>
        </is>
      </c>
      <c r="E38" s="5" t="inlineStr">
        <is>
          <t>Залишено в Phase 15 — не дублюйте</t>
        </is>
      </c>
      <c r="F38" s="5" t="inlineStr">
        <is>
          <t>set</t>
        </is>
      </c>
      <c r="G38" s="27" t="n">
        <v>0</v>
      </c>
      <c r="H38" s="27" t="n">
        <v>0</v>
      </c>
      <c r="I38" s="27" t="n">
        <v>0</v>
      </c>
      <c r="J38" s="22" t="n">
        <v>0</v>
      </c>
      <c r="K38" s="22">
        <f>IF(OR(H38="",J38="",J38=0),"",H38*J38)</f>
        <v/>
      </c>
      <c r="L38" s="5" t="inlineStr">
        <is>
          <t>Home Depot</t>
        </is>
      </c>
      <c r="M38" s="5" t="inlineStr">
        <is>
          <t>—</t>
        </is>
      </c>
      <c r="N38" s="5" t="inlineStr"/>
      <c r="O38" s="5" t="inlineStr">
        <is>
          <t>Confirmed</t>
        </is>
      </c>
      <c r="P38" s="5" t="inlineStr">
        <is>
          <t>medium</t>
        </is>
      </c>
      <c r="Q38" s="5" t="inlineStr">
        <is>
          <t>ДОДАНО (review): cross-reference. Cost у Phase 15 Water Heater | ДОДАНО (review): cross-ref Phase 15. Не дублювати — qty 0 | Ціна збір: 2026-05-28</t>
        </is>
      </c>
    </row>
    <row r="40">
      <c r="A40" s="8" t="n"/>
      <c r="B40" s="8" t="n"/>
      <c r="C40" s="9" t="inlineStr">
        <is>
          <t>ПІДСУМОК ФАЗИ</t>
        </is>
      </c>
      <c r="D40" s="8" t="n"/>
      <c r="E40" s="8" t="n"/>
      <c r="F40" s="8" t="n"/>
      <c r="G40" s="8" t="n"/>
      <c r="H40" s="8" t="n"/>
      <c r="I40" s="8" t="n"/>
      <c r="J40" s="8" t="n"/>
      <c r="K40" s="24">
        <f>SUM(K5:K38)</f>
        <v/>
      </c>
      <c r="L40" s="8" t="n"/>
      <c r="M40" s="8" t="n"/>
      <c r="N40" s="8" t="n"/>
      <c r="O40" s="8" t="n"/>
      <c r="P40" s="8" t="n"/>
      <c r="Q40" s="8" t="n"/>
    </row>
  </sheetData>
  <autoFilter ref="A4:Q38"/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6 — Electrical Rough-in (§21)</t>
        </is>
      </c>
    </row>
    <row r="2" ht="18" customHeight="1">
      <c r="A2" s="3" t="inlineStr">
        <is>
          <t>ADU subpanel + Romex + boxes + devices + light fixtures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Electrical R-I</t>
        </is>
      </c>
      <c r="C5" s="5" t="inlineStr">
        <is>
          <t>Panel</t>
        </is>
      </c>
      <c r="D5" s="5" t="inlineStr">
        <is>
          <t>ADU Subpanel 100A</t>
        </is>
      </c>
      <c r="E5" s="5" t="inlineStr">
        <is>
          <t>Square D QO 20-space allowance</t>
        </is>
      </c>
      <c r="F5" s="5" t="inlineStr">
        <is>
          <t>pcs</t>
        </is>
      </c>
      <c r="G5" s="27" t="n">
        <v>1</v>
      </c>
      <c r="H5" s="27" t="n">
        <v>1</v>
      </c>
      <c r="I5" s="27" t="n">
        <v>1</v>
      </c>
      <c r="J5" s="22" t="n">
        <v>139</v>
      </c>
      <c r="K5" s="22">
        <f>IF(OR(H5="",J5="",J5=0),"",H5*J5)</f>
        <v/>
      </c>
      <c r="L5" s="5" t="inlineStr">
        <is>
          <t>Home Depot</t>
        </is>
      </c>
      <c r="M5" s="5" t="inlineStr">
        <is>
          <t>Square D QO120M100C 100A 20-space</t>
        </is>
      </c>
      <c r="N5" s="5" t="inlineStr">
        <is>
          <t>https://www.homedepot.com/p/Square-D-QO-100-Amp-20-Space-20-Circuit-Indoor-Main-Breaker-Load-Center-with-Cover-QO120M100C/100195842</t>
        </is>
      </c>
      <c r="O5" s="5" t="inlineStr">
        <is>
          <t>Confirmed</t>
        </is>
      </c>
      <c r="P5" s="5" t="inlineStr">
        <is>
          <t>high</t>
        </is>
      </c>
      <c r="Q5" s="5" t="inlineStr">
        <is>
          <t>Final amperage by load calculation (§33.21) | $139 retail (promo $114 з HD card). 100A indoor main breaker load center | Ціна збір: 2026-05-28</t>
        </is>
      </c>
    </row>
    <row r="6">
      <c r="A6" s="5" t="n">
        <v>2</v>
      </c>
      <c r="B6" s="5" t="inlineStr">
        <is>
          <t>Electrical R-I</t>
        </is>
      </c>
      <c r="C6" s="5" t="inlineStr">
        <is>
          <t>Panel</t>
        </is>
      </c>
      <c r="D6" s="5" t="inlineStr">
        <is>
          <t>Standard Breakers (non-AFCI)</t>
        </is>
      </c>
      <c r="E6" s="5" t="inlineStr">
        <is>
          <t>Single/double pole для 240V appliances + non-AFCI circuits</t>
        </is>
      </c>
      <c r="F6" s="5" t="inlineStr">
        <is>
          <t>set</t>
        </is>
      </c>
      <c r="G6" s="27" t="n">
        <v>1</v>
      </c>
      <c r="H6" s="27" t="n">
        <v>1</v>
      </c>
      <c r="I6" s="27" t="n">
        <v>1</v>
      </c>
      <c r="J6" s="22" t="n">
        <v>130</v>
      </c>
      <c r="K6" s="22">
        <f>IF(OR(H6="",J6="",J6=0),"",H6*J6)</f>
        <v/>
      </c>
      <c r="L6" s="5" t="inlineStr">
        <is>
          <t>Home Depot</t>
        </is>
      </c>
      <c r="M6" s="5" t="inlineStr">
        <is>
          <t>Square D QO standard breakers (non-AFCI only)</t>
        </is>
      </c>
      <c r="N6" s="5" t="inlineStr"/>
      <c r="O6" s="5" t="inlineStr">
        <is>
          <t>Confirmed</t>
        </is>
      </c>
      <c r="P6" s="5" t="inlineStr">
        <is>
          <t>medium</t>
        </is>
      </c>
      <c r="Q6" s="5" t="inlineStr">
        <is>
          <t>Тільки для circuits де AFCI не required: range, WH, mini-split, dryer, bathroom GFCI | Тільки для non-AFCI circuits: 240V (range/WH/HVAC) + bath GFCI + non-AFCI. AFCI breakers в r26 окремо | Ціна збір: 2026-05-28</t>
        </is>
      </c>
    </row>
    <row r="7">
      <c r="A7" s="5" t="n">
        <v>3</v>
      </c>
      <c r="B7" s="5" t="inlineStr">
        <is>
          <t>Electrical R-I</t>
        </is>
      </c>
      <c r="C7" s="5" t="inlineStr">
        <is>
          <t>Wire</t>
        </is>
      </c>
      <c r="D7" s="5" t="inlineStr">
        <is>
          <t>Romex 12/2 (20A circuits)</t>
        </is>
      </c>
      <c r="E7" s="5" t="inlineStr">
        <is>
          <t>250ft / 1000ft rolls NM-B</t>
        </is>
      </c>
      <c r="F7" s="5" t="inlineStr">
        <is>
          <t>linear ft</t>
        </is>
      </c>
      <c r="G7" s="27" t="n">
        <v>500</v>
      </c>
      <c r="H7" s="27" t="n">
        <v>600</v>
      </c>
      <c r="I7" s="27" t="n">
        <v>700</v>
      </c>
      <c r="J7" s="22" t="n">
        <v>0.65</v>
      </c>
      <c r="K7" s="22">
        <f>IF(OR(H7="",J7="",J7=0),"",H7*J7)</f>
        <v/>
      </c>
      <c r="L7" s="5" t="inlineStr">
        <is>
          <t>Home Depot</t>
        </is>
      </c>
      <c r="M7" s="5" t="inlineStr">
        <is>
          <t>Southwire 12/2 NM-B Romex SIMpull</t>
        </is>
      </c>
      <c r="N7" s="5" t="inlineStr">
        <is>
          <t>https://www.homedepot.com/p/Southwire-250-ft-12-2-Solid-Romex-SIMpull-CU-NM-B-W-G-Wire-28828269/202019375</t>
        </is>
      </c>
      <c r="O7" s="5" t="inlineStr">
        <is>
          <t>Confirmed</t>
        </is>
      </c>
      <c r="P7" s="5" t="inlineStr">
        <is>
          <t>medium</t>
        </is>
      </c>
      <c r="Q7" s="5" t="inlineStr">
        <is>
          <t>$0.65/LF (~$163 per 250ft roll). Bay Area premium | Ціна збір: 2026-05-28</t>
        </is>
      </c>
    </row>
    <row r="8">
      <c r="A8" s="5" t="n">
        <v>4</v>
      </c>
      <c r="B8" s="5" t="inlineStr">
        <is>
          <t>Electrical R-I</t>
        </is>
      </c>
      <c r="C8" s="5" t="inlineStr">
        <is>
          <t>Wire</t>
        </is>
      </c>
      <c r="D8" s="5" t="inlineStr">
        <is>
          <t>Romex 14/2 (15A circuits)</t>
        </is>
      </c>
      <c r="E8" s="5" t="inlineStr">
        <is>
          <t>Lighting general NM-B</t>
        </is>
      </c>
      <c r="F8" s="5" t="inlineStr">
        <is>
          <t>linear ft</t>
        </is>
      </c>
      <c r="G8" s="27" t="n">
        <v>300</v>
      </c>
      <c r="H8" s="27" t="n">
        <v>400</v>
      </c>
      <c r="I8" s="27" t="n">
        <v>500</v>
      </c>
      <c r="J8" s="22" t="n">
        <v>0.45</v>
      </c>
      <c r="K8" s="22">
        <f>IF(OR(H8="",J8="",J8=0),"",H8*J8)</f>
        <v/>
      </c>
      <c r="L8" s="5" t="inlineStr">
        <is>
          <t>Home Depot</t>
        </is>
      </c>
      <c r="M8" s="5" t="inlineStr">
        <is>
          <t>Southwire 14/2 NM-B Romex</t>
        </is>
      </c>
      <c r="N8" s="5" t="inlineStr"/>
      <c r="O8" s="5" t="inlineStr">
        <is>
          <t>Confirmed</t>
        </is>
      </c>
      <c r="P8" s="5" t="inlineStr">
        <is>
          <t>medium</t>
        </is>
      </c>
      <c r="Q8" s="5" t="inlineStr">
        <is>
          <t>$0.45/LF lighter gauge | Ціна збір: 2026-05-28</t>
        </is>
      </c>
    </row>
    <row r="9">
      <c r="A9" s="5" t="n">
        <v>5</v>
      </c>
      <c r="B9" s="5" t="inlineStr">
        <is>
          <t>Electrical R-I</t>
        </is>
      </c>
      <c r="C9" s="5" t="inlineStr">
        <is>
          <t>Wire</t>
        </is>
      </c>
      <c r="D9" s="5" t="inlineStr">
        <is>
          <t>240V Cable (range/WH/HVAC)</t>
        </is>
      </c>
      <c r="E9" s="5" t="inlineStr">
        <is>
          <t>8/3 (range) + 10/2 (WH, mini-split)</t>
        </is>
      </c>
      <c r="F9" s="5" t="inlineStr">
        <is>
          <t>linear ft</t>
        </is>
      </c>
      <c r="G9" s="27" t="n">
        <v>80</v>
      </c>
      <c r="H9" s="27" t="n">
        <v>120</v>
      </c>
      <c r="I9" s="27" t="n">
        <v>160</v>
      </c>
      <c r="J9" s="22" t="n">
        <v>2.5</v>
      </c>
      <c r="K9" s="22">
        <f>IF(OR(H9="",J9="",J9=0),"",H9*J9)</f>
        <v/>
      </c>
      <c r="L9" s="5" t="inlineStr">
        <is>
          <t>Home Depot</t>
        </is>
      </c>
      <c r="M9" s="5" t="inlineStr">
        <is>
          <t>Southwire 8/3 + 10/2 NM-B (240V)</t>
        </is>
      </c>
      <c r="N9" s="5" t="inlineStr"/>
      <c r="O9" s="5" t="inlineStr">
        <is>
          <t>Confirmed</t>
        </is>
      </c>
      <c r="P9" s="5" t="inlineStr">
        <is>
          <t>medium</t>
        </is>
      </c>
      <c r="Q9" s="5" t="inlineStr">
        <is>
          <t>Range 40A, WH 30A, mini-split 30A | Average $2.50/LF mixed. 8/3 для range, 10/2 для WH/HVAC | Ціна збір: 2026-05-28</t>
        </is>
      </c>
    </row>
    <row r="10">
      <c r="A10" s="5" t="n">
        <v>6</v>
      </c>
      <c r="B10" s="5" t="inlineStr">
        <is>
          <t>Electrical R-I</t>
        </is>
      </c>
      <c r="C10" s="5" t="inlineStr">
        <is>
          <t>Wire</t>
        </is>
      </c>
      <c r="D10" s="5" t="inlineStr">
        <is>
          <t>Interior Conduit (where req'd)</t>
        </is>
      </c>
      <c r="E10" s="5" t="inlineStr">
        <is>
          <t>EMT/PVC 1/2-3/4"</t>
        </is>
      </c>
      <c r="F10" s="5" t="inlineStr">
        <is>
          <t>linear ft</t>
        </is>
      </c>
      <c r="G10" s="27" t="n">
        <v>20</v>
      </c>
      <c r="H10" s="27" t="n">
        <v>40</v>
      </c>
      <c r="I10" s="27" t="n">
        <v>60</v>
      </c>
      <c r="J10" s="22" t="n">
        <v>0.8</v>
      </c>
      <c r="K10" s="22">
        <f>IF(OR(H10="",J10="",J10=0),"",H10*J10)</f>
        <v/>
      </c>
      <c r="L10" s="5" t="inlineStr">
        <is>
          <t>Home Depot</t>
        </is>
      </c>
      <c r="M10" s="5" t="inlineStr">
        <is>
          <t>Allied EMT / Cantex PVC conduit 1/2-3/4"</t>
        </is>
      </c>
      <c r="N10" s="5" t="inlineStr"/>
      <c r="O10" s="5" t="inlineStr">
        <is>
          <t>TBD</t>
        </is>
      </c>
      <c r="P10" s="5" t="inlineStr">
        <is>
          <t>medium</t>
        </is>
      </c>
      <c r="Q10" s="5" t="inlineStr">
        <is>
          <t>Interior conduit per LF | Ціна збір: 2026-05-28</t>
        </is>
      </c>
    </row>
    <row r="11">
      <c r="A11" s="5" t="n">
        <v>7</v>
      </c>
      <c r="B11" s="5" t="inlineStr">
        <is>
          <t>Electrical R-I</t>
        </is>
      </c>
      <c r="C11" s="5" t="inlineStr">
        <is>
          <t>Devices</t>
        </is>
      </c>
      <c r="D11" s="5" t="inlineStr">
        <is>
          <t>Electrical Boxes (mixed)</t>
        </is>
      </c>
      <c r="E11" s="5" t="inlineStr">
        <is>
          <t>1-gang, 2-gang, ceiling, old-work</t>
        </is>
      </c>
      <c r="F11" s="5" t="inlineStr">
        <is>
          <t>pcs</t>
        </is>
      </c>
      <c r="G11" s="27" t="n">
        <v>55</v>
      </c>
      <c r="H11" s="27" t="n">
        <v>62</v>
      </c>
      <c r="I11" s="27" t="n">
        <v>70</v>
      </c>
      <c r="J11" s="22" t="n">
        <v>1.75</v>
      </c>
      <c r="K11" s="22">
        <f>IF(OR(H11="",J11="",J11=0),"",H11*J11)</f>
        <v/>
      </c>
      <c r="L11" s="5" t="inlineStr">
        <is>
          <t>Home Depot</t>
        </is>
      </c>
      <c r="M11" s="5" t="inlineStr">
        <is>
          <t>Carlon plastic boxes mixed</t>
        </is>
      </c>
      <c r="N11" s="5" t="inlineStr"/>
      <c r="O11" s="5" t="inlineStr">
        <is>
          <t>Confirmed</t>
        </is>
      </c>
      <c r="P11" s="5" t="inlineStr">
        <is>
          <t>medium</t>
        </is>
      </c>
      <c r="Q11" s="5" t="inlineStr">
        <is>
          <t>Average $1.75/box: 1g $1.50, 2g $2.50, ceiling $3, old-work $3.50, WP $12 | Ціна збір: 2026-05-28</t>
        </is>
      </c>
    </row>
    <row r="12">
      <c r="A12" s="5" t="n">
        <v>8</v>
      </c>
      <c r="B12" s="5" t="inlineStr">
        <is>
          <t>Electrical R-I</t>
        </is>
      </c>
      <c r="C12" s="5" t="inlineStr">
        <is>
          <t>Devices</t>
        </is>
      </c>
      <c r="D12" s="5" t="inlineStr">
        <is>
          <t>Standard Outlets TR-rated</t>
        </is>
      </c>
      <c r="E12" s="5" t="inlineStr">
        <is>
          <t>Tamper-resistant 15A/20A</t>
        </is>
      </c>
      <c r="F12" s="5" t="inlineStr">
        <is>
          <t>pcs</t>
        </is>
      </c>
      <c r="G12" s="27" t="n">
        <v>25</v>
      </c>
      <c r="H12" s="27" t="n">
        <v>30</v>
      </c>
      <c r="I12" s="27" t="n">
        <v>35</v>
      </c>
      <c r="J12" s="22" t="n">
        <v>2.5</v>
      </c>
      <c r="K12" s="22">
        <f>IF(OR(H12="",J12="",J12=0),"",H12*J12)</f>
        <v/>
      </c>
      <c r="L12" s="5" t="inlineStr">
        <is>
          <t>Home Depot</t>
        </is>
      </c>
      <c r="M12" s="5" t="inlineStr">
        <is>
          <t>Leviton TR-rated 15A/20A outlet</t>
        </is>
      </c>
      <c r="N12" s="5" t="inlineStr"/>
      <c r="O12" s="5" t="inlineStr">
        <is>
          <t>Confirmed</t>
        </is>
      </c>
      <c r="P12" s="5" t="inlineStr">
        <is>
          <t>medium</t>
        </is>
      </c>
      <c r="Q12" s="5" t="inlineStr">
        <is>
          <t>CA Code 2019+ TR mandatory | Tamper-resistant per CA Code 2019+ | Ціна збір: 2026-05-28</t>
        </is>
      </c>
    </row>
    <row r="13">
      <c r="A13" s="5" t="n">
        <v>9</v>
      </c>
      <c r="B13" s="5" t="inlineStr">
        <is>
          <t>Electrical R-I</t>
        </is>
      </c>
      <c r="C13" s="5" t="inlineStr">
        <is>
          <t>Devices</t>
        </is>
      </c>
      <c r="D13" s="5" t="inlineStr">
        <is>
          <t>GFCI Outlets</t>
        </is>
      </c>
      <c r="E13" s="5" t="inlineStr">
        <is>
          <t>Bath, kitchen, exterior</t>
        </is>
      </c>
      <c r="F13" s="5" t="inlineStr">
        <is>
          <t>pcs</t>
        </is>
      </c>
      <c r="G13" s="27" t="n">
        <v>8</v>
      </c>
      <c r="H13" s="27" t="n">
        <v>10</v>
      </c>
      <c r="I13" s="27" t="n">
        <v>12</v>
      </c>
      <c r="J13" s="22" t="n">
        <v>18</v>
      </c>
      <c r="K13" s="22">
        <f>IF(OR(H13="",J13="",J13=0),"",H13*J13)</f>
        <v/>
      </c>
      <c r="L13" s="5" t="inlineStr">
        <is>
          <t>Home Depot</t>
        </is>
      </c>
      <c r="M13" s="5" t="inlineStr">
        <is>
          <t>Leviton/Eaton GFCI receptacle</t>
        </is>
      </c>
      <c r="N13" s="5" t="inlineStr"/>
      <c r="O13" s="5" t="inlineStr">
        <is>
          <t>Confirmed</t>
        </is>
      </c>
      <c r="P13" s="5" t="inlineStr">
        <is>
          <t>medium</t>
        </is>
      </c>
      <c r="Q13" s="5" t="inlineStr">
        <is>
          <t>Final GFCI strategy TBD: protection may be provided by GFCI receptacles, GFCI breakers, or dual-function breakers | Per pc | Ціна збір: 2026-05-28</t>
        </is>
      </c>
    </row>
    <row r="14">
      <c r="A14" s="5" t="n">
        <v>10</v>
      </c>
      <c r="B14" s="5" t="inlineStr">
        <is>
          <t>Electrical R-I</t>
        </is>
      </c>
      <c r="C14" s="5" t="inlineStr">
        <is>
          <t>Devices</t>
        </is>
      </c>
      <c r="D14" s="5" t="inlineStr">
        <is>
          <t>Switches / Dimmers (LED-compatible)</t>
        </is>
      </c>
      <c r="E14" s="5" t="inlineStr">
        <is>
          <t>Single/3-way mix</t>
        </is>
      </c>
      <c r="F14" s="5" t="inlineStr">
        <is>
          <t>pcs</t>
        </is>
      </c>
      <c r="G14" s="27" t="n">
        <v>12</v>
      </c>
      <c r="H14" s="27" t="n">
        <v>15</v>
      </c>
      <c r="I14" s="27" t="n">
        <v>18</v>
      </c>
      <c r="J14" s="22" t="n">
        <v>7</v>
      </c>
      <c r="K14" s="22">
        <f>IF(OR(H14="",J14="",J14=0),"",H14*J14)</f>
        <v/>
      </c>
      <c r="L14" s="5" t="inlineStr">
        <is>
          <t>Home Depot</t>
        </is>
      </c>
      <c r="M14" s="5" t="inlineStr">
        <is>
          <t>Leviton switches + dimmers mix</t>
        </is>
      </c>
      <c r="N14" s="5" t="inlineStr"/>
      <c r="O14" s="5" t="inlineStr">
        <is>
          <t>Confirmed</t>
        </is>
      </c>
      <c r="P14" s="5" t="inlineStr">
        <is>
          <t>medium</t>
        </is>
      </c>
      <c r="Q14" s="5" t="inlineStr">
        <is>
          <t>CA Title 24 LED dimming | $2-4 single switch, $15-25 LED dimmer. Average $7 | Ціна збір: 2026-05-28</t>
        </is>
      </c>
    </row>
    <row r="15">
      <c r="A15" s="5" t="n">
        <v>11</v>
      </c>
      <c r="B15" s="5" t="inlineStr">
        <is>
          <t>Electrical R-I</t>
        </is>
      </c>
      <c r="C15" s="5" t="inlineStr">
        <is>
          <t>Devices</t>
        </is>
      </c>
      <c r="D15" s="5" t="inlineStr">
        <is>
          <t>Cover Plates</t>
        </is>
      </c>
      <c r="E15" s="5" t="inlineStr"/>
      <c r="F15" s="5" t="inlineStr">
        <is>
          <t>pcs</t>
        </is>
      </c>
      <c r="G15" s="27" t="n">
        <v>55</v>
      </c>
      <c r="H15" s="27" t="n">
        <v>62</v>
      </c>
      <c r="I15" s="27" t="n">
        <v>70</v>
      </c>
      <c r="J15" s="22" t="n">
        <v>0.75</v>
      </c>
      <c r="K15" s="22">
        <f>IF(OR(H15="",J15="",J15=0),"",H15*J15)</f>
        <v/>
      </c>
      <c r="L15" s="5" t="inlineStr">
        <is>
          <t>Home Depot</t>
        </is>
      </c>
      <c r="M15" s="5" t="inlineStr">
        <is>
          <t>Leviton plastic cover plates</t>
        </is>
      </c>
      <c r="N15" s="5" t="inlineStr"/>
      <c r="O15" s="5" t="inlineStr">
        <is>
          <t>Confirmed</t>
        </is>
      </c>
      <c r="P15" s="5" t="inlineStr">
        <is>
          <t>medium</t>
        </is>
      </c>
      <c r="Q15" s="5" t="inlineStr">
        <is>
          <t>Average per cover | Ціна збір: 2026-05-28</t>
        </is>
      </c>
    </row>
    <row r="16">
      <c r="A16" s="5" t="n">
        <v>12</v>
      </c>
      <c r="B16" s="5" t="inlineStr">
        <is>
          <t>Electrical R-I</t>
        </is>
      </c>
      <c r="C16" s="5" t="inlineStr">
        <is>
          <t>Devices</t>
        </is>
      </c>
      <c r="D16" s="5" t="inlineStr">
        <is>
          <t>Bathroom Fan Timer Switch</t>
        </is>
      </c>
      <c r="E16" s="5" t="inlineStr"/>
      <c r="F16" s="5" t="inlineStr">
        <is>
          <t>pcs</t>
        </is>
      </c>
      <c r="G16" s="27" t="n">
        <v>1</v>
      </c>
      <c r="H16" s="27" t="n">
        <v>1</v>
      </c>
      <c r="I16" s="27" t="n">
        <v>1</v>
      </c>
      <c r="J16" s="22" t="n">
        <v>30</v>
      </c>
      <c r="K16" s="22">
        <f>IF(OR(H16="",J16="",J16=0),"",H16*J16)</f>
        <v/>
      </c>
      <c r="L16" s="5" t="inlineStr">
        <is>
          <t>Home Depot</t>
        </is>
      </c>
      <c r="M16" s="5" t="inlineStr">
        <is>
          <t>Leviton bathroom fan timer switch</t>
        </is>
      </c>
      <c r="N16" s="5" t="inlineStr"/>
      <c r="O16" s="5" t="inlineStr">
        <is>
          <t>TBD</t>
        </is>
      </c>
      <c r="P16" s="5" t="inlineStr">
        <is>
          <t>medium</t>
        </is>
      </c>
      <c r="Q16" s="5" t="inlineStr">
        <is>
          <t>Single-pole | Ціна збір: 2026-05-28</t>
        </is>
      </c>
    </row>
    <row r="17">
      <c r="A17" s="5" t="n">
        <v>13</v>
      </c>
      <c r="B17" s="5" t="inlineStr">
        <is>
          <t>Electrical R-I</t>
        </is>
      </c>
      <c r="C17" s="5" t="inlineStr">
        <is>
          <t>Devices</t>
        </is>
      </c>
      <c r="D17" s="5" t="inlineStr">
        <is>
          <t>Smoke / CO Detectors</t>
        </is>
      </c>
      <c r="E17" s="5" t="inlineStr">
        <is>
          <t>Combo hardwired interconnected + battery backup</t>
        </is>
      </c>
      <c r="F17" s="5" t="inlineStr">
        <is>
          <t>pcs</t>
        </is>
      </c>
      <c r="G17" s="27" t="n">
        <v>2</v>
      </c>
      <c r="H17" s="27" t="n">
        <v>3</v>
      </c>
      <c r="I17" s="27" t="n">
        <v>4</v>
      </c>
      <c r="J17" s="22" t="n">
        <v>43.44</v>
      </c>
      <c r="K17" s="22">
        <f>IF(OR(H17="",J17="",J17=0),"",H17*J17)</f>
        <v/>
      </c>
      <c r="L17" s="5" t="inlineStr">
        <is>
          <t>Home Depot</t>
        </is>
      </c>
      <c r="M17" s="5" t="inlineStr">
        <is>
          <t>First Alert 1039339 hardwired combo</t>
        </is>
      </c>
      <c r="N17" s="5" t="inlineStr">
        <is>
          <t>https://www.homedepot.com/p/First-Alert-Smoke-and-CO-Detector-AA-Battery-1039339/313143543</t>
        </is>
      </c>
      <c r="O17" s="5" t="inlineStr">
        <is>
          <t>Confirmed</t>
        </is>
      </c>
      <c r="P17" s="5" t="inlineStr">
        <is>
          <t>medium</t>
        </is>
      </c>
      <c r="Q17" s="5" t="inlineStr">
        <is>
          <t>Final placement TBD. CA Code: hardwired interconnected | Smoke+CO combo. CA Code: hardwired interconnected з battery backup | Ціна збір: 2026-05-28</t>
        </is>
      </c>
    </row>
    <row r="18">
      <c r="A18" s="5" t="n">
        <v>14</v>
      </c>
      <c r="B18" s="5" t="inlineStr">
        <is>
          <t>Electrical R-I</t>
        </is>
      </c>
      <c r="C18" s="5" t="inlineStr">
        <is>
          <t>Devices</t>
        </is>
      </c>
      <c r="D18" s="5" t="inlineStr">
        <is>
          <t>Weatherproof Outlets</t>
        </is>
      </c>
      <c r="E18" s="5" t="inlineStr">
        <is>
          <t>Exterior GFCI in-use cover</t>
        </is>
      </c>
      <c r="F18" s="5" t="inlineStr">
        <is>
          <t>pcs</t>
        </is>
      </c>
      <c r="G18" s="27" t="n">
        <v>1</v>
      </c>
      <c r="H18" s="27" t="n">
        <v>2</v>
      </c>
      <c r="I18" s="27" t="n">
        <v>2</v>
      </c>
      <c r="J18" s="22" t="n">
        <v>22</v>
      </c>
      <c r="K18" s="22">
        <f>IF(OR(H18="",J18="",J18=0),"",H18*J18)</f>
        <v/>
      </c>
      <c r="L18" s="5" t="inlineStr">
        <is>
          <t>Home Depot</t>
        </is>
      </c>
      <c r="M18" s="5" t="inlineStr">
        <is>
          <t>Leviton GFCI weatherproof + in-use cover</t>
        </is>
      </c>
      <c r="N18" s="5" t="inlineStr"/>
      <c r="O18" s="5" t="inlineStr">
        <is>
          <t>TBD</t>
        </is>
      </c>
      <c r="P18" s="5" t="inlineStr">
        <is>
          <t>medium</t>
        </is>
      </c>
      <c r="Q18" s="5" t="inlineStr">
        <is>
          <t>Exterior | Ціна збір: 2026-05-28</t>
        </is>
      </c>
    </row>
    <row r="19">
      <c r="A19" s="5" t="n">
        <v>15</v>
      </c>
      <c r="B19" s="5" t="inlineStr">
        <is>
          <t>Electrical R-I</t>
        </is>
      </c>
      <c r="C19" s="5" t="inlineStr">
        <is>
          <t>Devices</t>
        </is>
      </c>
      <c r="D19" s="5" t="inlineStr">
        <is>
          <t>Mini-split Disconnect (outdoor)</t>
        </is>
      </c>
      <c r="E19" s="5" t="inlineStr">
        <is>
          <t>60A pull-out switch</t>
        </is>
      </c>
      <c r="F19" s="5" t="inlineStr">
        <is>
          <t>pcs</t>
        </is>
      </c>
      <c r="G19" s="27" t="n">
        <v>1</v>
      </c>
      <c r="H19" s="27" t="n">
        <v>1</v>
      </c>
      <c r="I19" s="27" t="n">
        <v>1</v>
      </c>
      <c r="J19" s="22" t="n">
        <v>40</v>
      </c>
      <c r="K19" s="22">
        <f>IF(OR(H19="",J19="",J19=0),"",H19*J19)</f>
        <v/>
      </c>
      <c r="L19" s="5" t="inlineStr">
        <is>
          <t>Home Depot</t>
        </is>
      </c>
      <c r="M19" s="5" t="inlineStr">
        <is>
          <t>Square D 60A pull-out disconnect</t>
        </is>
      </c>
      <c r="N19" s="5" t="inlineStr"/>
      <c r="O19" s="5" t="inlineStr">
        <is>
          <t>Confirmed</t>
        </is>
      </c>
      <c r="P19" s="5" t="inlineStr">
        <is>
          <t>medium</t>
        </is>
      </c>
      <c r="Q19" s="5" t="inlineStr">
        <is>
          <t>Mini-split outdoor disconnect | Ціна збір: 2026-05-28</t>
        </is>
      </c>
    </row>
    <row r="20">
      <c r="A20" s="5" t="n">
        <v>16</v>
      </c>
      <c r="B20" s="5" t="inlineStr">
        <is>
          <t>Electrical R-I</t>
        </is>
      </c>
      <c r="C20" s="5" t="inlineStr">
        <is>
          <t>Devices</t>
        </is>
      </c>
      <c r="D20" s="5" t="inlineStr">
        <is>
          <t>Appliance Receptacles</t>
        </is>
      </c>
      <c r="E20" s="5" t="inlineStr">
        <is>
          <t>Range/dryer/etc receptacles</t>
        </is>
      </c>
      <c r="F20" s="5" t="inlineStr">
        <is>
          <t>pcs</t>
        </is>
      </c>
      <c r="G20" s="27" t="n">
        <v>3</v>
      </c>
      <c r="H20" s="27" t="n">
        <v>4</v>
      </c>
      <c r="I20" s="27" t="n">
        <v>5</v>
      </c>
      <c r="J20" s="22" t="n">
        <v>15</v>
      </c>
      <c r="K20" s="22">
        <f>IF(OR(H20="",J20="",J20=0),"",H20*J20)</f>
        <v/>
      </c>
      <c r="L20" s="5" t="inlineStr">
        <is>
          <t>Home Depot</t>
        </is>
      </c>
      <c r="M20" s="5" t="inlineStr">
        <is>
          <t>Leviton range/dryer/WH receptacle</t>
        </is>
      </c>
      <c r="N20" s="5" t="inlineStr"/>
      <c r="O20" s="5" t="inlineStr">
        <is>
          <t>TBD</t>
        </is>
      </c>
      <c r="P20" s="5" t="inlineStr">
        <is>
          <t>medium</t>
        </is>
      </c>
      <c r="Q20" s="5" t="inlineStr">
        <is>
          <t>TBD by appliance specs; some equipment may be hardwired (WH, mini-split) | Mix 14-50R + 14-30R + 6-30R | Ціна збір: 2026-05-28</t>
        </is>
      </c>
    </row>
    <row r="21">
      <c r="A21" s="5" t="n">
        <v>17</v>
      </c>
      <c r="B21" s="5" t="inlineStr">
        <is>
          <t>Electrical R-I</t>
        </is>
      </c>
      <c r="C21" s="5" t="inlineStr">
        <is>
          <t>Lighting Fixtures</t>
        </is>
      </c>
      <c r="D21" s="5" t="inlineStr">
        <is>
          <t>Recessed Lights LED (cans+trim)</t>
        </is>
      </c>
      <c r="E21" s="5" t="inlineStr">
        <is>
          <t>Wafer LED 4"/6" dimmable</t>
        </is>
      </c>
      <c r="F21" s="5" t="inlineStr">
        <is>
          <t>pcs</t>
        </is>
      </c>
      <c r="G21" s="27" t="n">
        <v>10</v>
      </c>
      <c r="H21" s="27" t="n">
        <v>12</v>
      </c>
      <c r="I21" s="27" t="n">
        <v>14</v>
      </c>
      <c r="J21" s="22" t="n">
        <v>20</v>
      </c>
      <c r="K21" s="22">
        <f>IF(OR(H21="",J21="",J21=0),"",H21*J21)</f>
        <v/>
      </c>
      <c r="L21" s="5" t="inlineStr">
        <is>
          <t>Home Depot</t>
        </is>
      </c>
      <c r="M21" s="5" t="inlineStr">
        <is>
          <t>Halo/Lithonia LED wafer 4"/6" dimmable</t>
        </is>
      </c>
      <c r="N21" s="5" t="inlineStr"/>
      <c r="O21" s="5" t="inlineStr">
        <is>
          <t>Confirmed</t>
        </is>
      </c>
      <c r="P21" s="5" t="inlineStr">
        <is>
          <t>medium</t>
        </is>
      </c>
      <c r="Q21" s="5" t="inlineStr">
        <is>
          <t>LED recessed, CA Title 24 compliant | Ціна збір: 2026-05-28</t>
        </is>
      </c>
    </row>
    <row r="22">
      <c r="A22" s="5" t="n">
        <v>18</v>
      </c>
      <c r="B22" s="5" t="inlineStr">
        <is>
          <t>Electrical R-I</t>
        </is>
      </c>
      <c r="C22" s="5" t="inlineStr">
        <is>
          <t>Lighting Fixtures</t>
        </is>
      </c>
      <c r="D22" s="5" t="inlineStr">
        <is>
          <t>Ceiling Lights (surface)</t>
        </is>
      </c>
      <c r="E22" s="5" t="inlineStr">
        <is>
          <t>Closet, utility</t>
        </is>
      </c>
      <c r="F22" s="5" t="inlineStr">
        <is>
          <t>pcs</t>
        </is>
      </c>
      <c r="G22" s="27" t="n">
        <v>2</v>
      </c>
      <c r="H22" s="27" t="n">
        <v>3</v>
      </c>
      <c r="I22" s="27" t="n">
        <v>4</v>
      </c>
      <c r="J22" s="22" t="n">
        <v>40</v>
      </c>
      <c r="K22" s="22">
        <f>IF(OR(H22="",J22="",J22=0),"",H22*J22)</f>
        <v/>
      </c>
      <c r="L22" s="5" t="inlineStr">
        <is>
          <t>Home Depot</t>
        </is>
      </c>
      <c r="M22" s="5" t="inlineStr">
        <is>
          <t>Generic surface-mount LED ceiling</t>
        </is>
      </c>
      <c r="N22" s="5" t="inlineStr"/>
      <c r="O22" s="5" t="inlineStr">
        <is>
          <t>TBD</t>
        </is>
      </c>
      <c r="P22" s="5" t="inlineStr">
        <is>
          <t>medium</t>
        </is>
      </c>
      <c r="Q22" s="5" t="inlineStr">
        <is>
          <t>Closet/utility | Ціна збір: 2026-05-28</t>
        </is>
      </c>
    </row>
    <row r="23">
      <c r="A23" s="5" t="n">
        <v>19</v>
      </c>
      <c r="B23" s="5" t="inlineStr">
        <is>
          <t>Electrical R-I</t>
        </is>
      </c>
      <c r="C23" s="5" t="inlineStr">
        <is>
          <t>Lighting Fixtures</t>
        </is>
      </c>
      <c r="D23" s="5" t="inlineStr">
        <is>
          <t>Exterior Lights</t>
        </is>
      </c>
      <c r="E23" s="5" t="inlineStr">
        <is>
          <t>Entry + French door</t>
        </is>
      </c>
      <c r="F23" s="5" t="inlineStr">
        <is>
          <t>pcs</t>
        </is>
      </c>
      <c r="G23" s="27" t="n">
        <v>1</v>
      </c>
      <c r="H23" s="27" t="n">
        <v>2</v>
      </c>
      <c r="I23" s="27" t="n">
        <v>2</v>
      </c>
      <c r="J23" s="22" t="n">
        <v>60</v>
      </c>
      <c r="K23" s="22">
        <f>IF(OR(H23="",J23="",J23=0),"",H23*J23)</f>
        <v/>
      </c>
      <c r="L23" s="5" t="inlineStr">
        <is>
          <t>Home Depot</t>
        </is>
      </c>
      <c r="M23" s="5" t="inlineStr">
        <is>
          <t>Generic LED wall mount exterior</t>
        </is>
      </c>
      <c r="N23" s="5" t="inlineStr"/>
      <c r="O23" s="5" t="inlineStr">
        <is>
          <t>TBD</t>
        </is>
      </c>
      <c r="P23" s="5" t="inlineStr">
        <is>
          <t>medium</t>
        </is>
      </c>
      <c r="Q23" s="5" t="inlineStr">
        <is>
          <t>Entry + French door | Ціна збір: 2026-05-28</t>
        </is>
      </c>
    </row>
    <row r="24">
      <c r="A24" s="5" t="n">
        <v>20</v>
      </c>
      <c r="B24" s="5" t="inlineStr">
        <is>
          <t>Electrical R-I</t>
        </is>
      </c>
      <c r="C24" s="5" t="inlineStr">
        <is>
          <t>Lighting Fixtures</t>
        </is>
      </c>
      <c r="D24" s="5" t="inlineStr">
        <is>
          <t>Bathroom Vanity Light</t>
        </is>
      </c>
      <c r="E24" s="5" t="inlineStr"/>
      <c r="F24" s="5" t="inlineStr">
        <is>
          <t>pcs</t>
        </is>
      </c>
      <c r="G24" s="27" t="n">
        <v>1</v>
      </c>
      <c r="H24" s="27" t="n">
        <v>1</v>
      </c>
      <c r="I24" s="27" t="n">
        <v>1</v>
      </c>
      <c r="J24" s="22" t="n">
        <v>60</v>
      </c>
      <c r="K24" s="22">
        <f>IF(OR(H24="",J24="",J24=0),"",H24*J24)</f>
        <v/>
      </c>
      <c r="L24" s="5" t="inlineStr">
        <is>
          <t>Home Depot</t>
        </is>
      </c>
      <c r="M24" s="5" t="inlineStr">
        <is>
          <t>Generic bathroom vanity LED</t>
        </is>
      </c>
      <c r="N24" s="5" t="inlineStr"/>
      <c r="O24" s="5" t="inlineStr">
        <is>
          <t>TBD</t>
        </is>
      </c>
      <c r="P24" s="5" t="inlineStr">
        <is>
          <t>medium</t>
        </is>
      </c>
      <c r="Q24" s="5" t="inlineStr">
        <is>
          <t>Above mirror | Ціна збір: 2026-05-28</t>
        </is>
      </c>
    </row>
    <row r="25">
      <c r="A25" s="5" t="n">
        <v>21</v>
      </c>
      <c r="B25" s="5" t="inlineStr">
        <is>
          <t>Electrical R-I</t>
        </is>
      </c>
      <c r="C25" s="5" t="inlineStr">
        <is>
          <t>Lighting Fixtures</t>
        </is>
      </c>
      <c r="D25" s="5" t="inlineStr">
        <is>
          <t>Closet Lighting</t>
        </is>
      </c>
      <c r="E25" s="5" t="inlineStr">
        <is>
          <t>Motion sensor</t>
        </is>
      </c>
      <c r="F25" s="5" t="inlineStr">
        <is>
          <t>pcs</t>
        </is>
      </c>
      <c r="G25" s="27" t="n">
        <v>1</v>
      </c>
      <c r="H25" s="27" t="n">
        <v>1</v>
      </c>
      <c r="I25" s="27" t="n">
        <v>1</v>
      </c>
      <c r="J25" s="22" t="n">
        <v>30</v>
      </c>
      <c r="K25" s="22">
        <f>IF(OR(H25="",J25="",J25=0),"",H25*J25)</f>
        <v/>
      </c>
      <c r="L25" s="5" t="inlineStr">
        <is>
          <t>Home Depot / IKEA</t>
        </is>
      </c>
      <c r="M25" s="5" t="inlineStr">
        <is>
          <t>Generic LED motion sensor light</t>
        </is>
      </c>
      <c r="N25" s="5" t="inlineStr"/>
      <c r="O25" s="5" t="inlineStr">
        <is>
          <t>TBD</t>
        </is>
      </c>
      <c r="P25" s="5" t="inlineStr">
        <is>
          <t>medium</t>
        </is>
      </c>
      <c r="Q25" s="5" t="inlineStr">
        <is>
          <t>Closet | Ціна збір: 2026-05-28</t>
        </is>
      </c>
    </row>
    <row r="26">
      <c r="A26" s="5" t="n">
        <v>22</v>
      </c>
      <c r="B26" s="5" t="inlineStr">
        <is>
          <t>Electrical R-I</t>
        </is>
      </c>
      <c r="C26" s="5" t="inlineStr">
        <is>
          <t>Panel</t>
        </is>
      </c>
      <c r="D26" s="5" t="inlineStr">
        <is>
          <t>AFCI / Dual-Function Breakers</t>
        </is>
      </c>
      <c r="E26" s="5" t="inlineStr">
        <is>
          <t>CA Code 2019+ для bedroom/living/kitchen/dining</t>
        </is>
      </c>
      <c r="F26" s="5" t="inlineStr">
        <is>
          <t>pcs</t>
        </is>
      </c>
      <c r="G26" s="27" t="n">
        <v>6</v>
      </c>
      <c r="H26" s="27" t="n">
        <v>8</v>
      </c>
      <c r="I26" s="27" t="n">
        <v>10</v>
      </c>
      <c r="J26" s="22" t="n">
        <v>67</v>
      </c>
      <c r="K26" s="22">
        <f>IF(OR(H26="",J26="",J26=0),"",H26*J26)</f>
        <v/>
      </c>
      <c r="L26" s="5" t="inlineStr">
        <is>
          <t>Home Depot</t>
        </is>
      </c>
      <c r="M26" s="5" t="inlineStr">
        <is>
          <t>Square D QO120DFC dual-function AFCI/GFCI</t>
        </is>
      </c>
      <c r="N26" s="5" t="inlineStr">
        <is>
          <t>https://www.homedepot.com/p/Square-D-QO-20-Amp-Single-Pole-Dual-Function-CAFCI-and-GFCI-Circuit-Breaker-6-Pack-QO120DFC6/206474144</t>
        </is>
      </c>
      <c r="O26" s="5" t="inlineStr">
        <is>
          <t>Confirmed</t>
        </is>
      </c>
      <c r="P26" s="5" t="inlineStr">
        <is>
          <t>high</t>
        </is>
      </c>
      <c r="Q26" s="5" t="inlineStr">
        <is>
          <t>ДОДАНО (CA Code). НЕ дублюється з standard breakers — це окремі circuits | $67/each (6-pack $401.31). ДОДАНО (CA Code 2019+): bedroom/living/kitchen/dining mandatory | Ціна збір: 2026-05-28</t>
        </is>
      </c>
    </row>
    <row r="27">
      <c r="A27" s="5" t="n">
        <v>23</v>
      </c>
      <c r="B27" s="5" t="inlineStr">
        <is>
          <t>Electrical R-I</t>
        </is>
      </c>
      <c r="C27" s="5" t="inlineStr">
        <is>
          <t>Consumables</t>
        </is>
      </c>
      <c r="D27" s="5" t="inlineStr">
        <is>
          <t>Wire Nuts (Marrettes/Wago) pack</t>
        </is>
      </c>
      <c r="E27" s="5" t="inlineStr">
        <is>
          <t>Splices</t>
        </is>
      </c>
      <c r="F27" s="5" t="inlineStr">
        <is>
          <t>pack</t>
        </is>
      </c>
      <c r="G27" s="27" t="n">
        <v>1</v>
      </c>
      <c r="H27" s="27" t="n">
        <v>1</v>
      </c>
      <c r="I27" s="27" t="n">
        <v>2</v>
      </c>
      <c r="J27" s="22" t="n">
        <v>10</v>
      </c>
      <c r="K27" s="22">
        <f>IF(OR(H27="",J27="",J27=0),"",H27*J27)</f>
        <v/>
      </c>
      <c r="L27" s="5" t="inlineStr">
        <is>
          <t>Home Depot</t>
        </is>
      </c>
      <c r="M27" s="5" t="inlineStr">
        <is>
          <t>Buchanan/Ideal wire nuts pack 50ct</t>
        </is>
      </c>
      <c r="N27" s="5" t="inlineStr"/>
      <c r="O27" s="5" t="inlineStr">
        <is>
          <t>Confirmed</t>
        </is>
      </c>
      <c r="P27" s="5" t="inlineStr">
        <is>
          <t>medium</t>
        </is>
      </c>
      <c r="Q27" s="5" t="inlineStr">
        <is>
          <t>ДОДАНО | ДОДАНО | Ціна збір: 2026-05-28</t>
        </is>
      </c>
    </row>
    <row r="28">
      <c r="A28" s="5" t="n">
        <v>24</v>
      </c>
      <c r="B28" s="5" t="inlineStr">
        <is>
          <t>Electrical R-I</t>
        </is>
      </c>
      <c r="C28" s="5" t="inlineStr">
        <is>
          <t>Consumables</t>
        </is>
      </c>
      <c r="D28" s="5" t="inlineStr">
        <is>
          <t>Electrical Tape (B/W/R phasing)</t>
        </is>
      </c>
      <c r="E28" s="5" t="inlineStr">
        <is>
          <t>3M Super 33</t>
        </is>
      </c>
      <c r="F28" s="5" t="inlineStr">
        <is>
          <t>pack</t>
        </is>
      </c>
      <c r="G28" s="27" t="n">
        <v>1</v>
      </c>
      <c r="H28" s="27" t="n">
        <v>1</v>
      </c>
      <c r="I28" s="27" t="n">
        <v>1</v>
      </c>
      <c r="J28" s="22" t="n">
        <v>15</v>
      </c>
      <c r="K28" s="22">
        <f>IF(OR(H28="",J28="",J28=0),"",H28*J28)</f>
        <v/>
      </c>
      <c r="L28" s="5" t="inlineStr">
        <is>
          <t>Home Depot</t>
        </is>
      </c>
      <c r="M28" s="5" t="inlineStr">
        <is>
          <t>3M Super 33 electrical tape pack 5pk</t>
        </is>
      </c>
      <c r="N28" s="5" t="inlineStr"/>
      <c r="O28" s="5" t="inlineStr">
        <is>
          <t>Confirmed</t>
        </is>
      </c>
      <c r="P28" s="5" t="inlineStr">
        <is>
          <t>medium</t>
        </is>
      </c>
      <c r="Q28" s="5" t="inlineStr">
        <is>
          <t>ДОДАНО | ДОДАНО: black/white/red phasing | Ціна збір: 2026-05-28</t>
        </is>
      </c>
    </row>
    <row r="29">
      <c r="A29" s="5" t="n">
        <v>25</v>
      </c>
      <c r="B29" s="5" t="inlineStr">
        <is>
          <t>Electrical R-I</t>
        </is>
      </c>
      <c r="C29" s="5" t="inlineStr">
        <is>
          <t>Consumables</t>
        </is>
      </c>
      <c r="D29" s="5" t="inlineStr">
        <is>
          <t>Cable Staples / Romex Clips</t>
        </is>
      </c>
      <c r="E29" s="5" t="inlineStr">
        <is>
          <t>Для cable runs по studs</t>
        </is>
      </c>
      <c r="F29" s="5" t="inlineStr">
        <is>
          <t>lb</t>
        </is>
      </c>
      <c r="G29" s="27" t="n">
        <v>1</v>
      </c>
      <c r="H29" s="27" t="n">
        <v>1</v>
      </c>
      <c r="I29" s="27" t="n">
        <v>2</v>
      </c>
      <c r="J29" s="22" t="n">
        <v>12</v>
      </c>
      <c r="K29" s="22">
        <f>IF(OR(H29="",J29="",J29=0),"",H29*J29)</f>
        <v/>
      </c>
      <c r="L29" s="5" t="inlineStr">
        <is>
          <t>Home Depot</t>
        </is>
      </c>
      <c r="M29" s="5" t="inlineStr">
        <is>
          <t>Gardner Bender Romex staples 1 lb</t>
        </is>
      </c>
      <c r="N29" s="5" t="inlineStr"/>
      <c r="O29" s="5" t="inlineStr">
        <is>
          <t>Confirmed</t>
        </is>
      </c>
      <c r="P29" s="5" t="inlineStr">
        <is>
          <t>medium</t>
        </is>
      </c>
      <c r="Q29" s="5" t="inlineStr">
        <is>
          <t>ДОДАНО | ДОДАНО | Ціна збір: 2026-05-28</t>
        </is>
      </c>
    </row>
    <row r="30">
      <c r="A30" s="5" t="n">
        <v>26</v>
      </c>
      <c r="B30" s="5" t="inlineStr">
        <is>
          <t>Electrical R-I</t>
        </is>
      </c>
      <c r="C30" s="5" t="inlineStr">
        <is>
          <t>Consumables</t>
        </is>
      </c>
      <c r="D30" s="5" t="inlineStr">
        <is>
          <t>Romex Cable Connectors</t>
        </is>
      </c>
      <c r="E30" s="5" t="inlineStr">
        <is>
          <t>Clamps box entry</t>
        </is>
      </c>
      <c r="F30" s="5" t="inlineStr">
        <is>
          <t>pack</t>
        </is>
      </c>
      <c r="G30" s="27" t="n">
        <v>1</v>
      </c>
      <c r="H30" s="27" t="n">
        <v>1</v>
      </c>
      <c r="I30" s="27" t="n">
        <v>2</v>
      </c>
      <c r="J30" s="22" t="n">
        <v>15</v>
      </c>
      <c r="K30" s="22">
        <f>IF(OR(H30="",J30="",J30=0),"",H30*J30)</f>
        <v/>
      </c>
      <c r="L30" s="5" t="inlineStr">
        <is>
          <t>Home Depot</t>
        </is>
      </c>
      <c r="M30" s="5" t="inlineStr">
        <is>
          <t>Generic Romex 3/8 connectors 25-pack</t>
        </is>
      </c>
      <c r="N30" s="5" t="inlineStr"/>
      <c r="O30" s="5" t="inlineStr">
        <is>
          <t>Confirmed</t>
        </is>
      </c>
      <c r="P30" s="5" t="inlineStr">
        <is>
          <t>medium</t>
        </is>
      </c>
      <c r="Q30" s="5" t="inlineStr">
        <is>
          <t>ДОДАНО: 25-count packs | ДОДАНО | Ціна збір: 2026-05-28</t>
        </is>
      </c>
    </row>
    <row r="31">
      <c r="A31" s="5" t="n">
        <v>27</v>
      </c>
      <c r="B31" s="5" t="inlineStr">
        <is>
          <t>Electrical R-I</t>
        </is>
      </c>
      <c r="C31" s="5" t="inlineStr">
        <is>
          <t>Consumables</t>
        </is>
      </c>
      <c r="D31" s="5" t="inlineStr">
        <is>
          <t>Grounding Pigtails / Extra Green Wire</t>
        </is>
      </c>
      <c r="E31" s="5" t="inlineStr">
        <is>
          <t>Extra grounds</t>
        </is>
      </c>
      <c r="F31" s="5" t="inlineStr">
        <is>
          <t>pack</t>
        </is>
      </c>
      <c r="G31" s="27" t="n">
        <v>1</v>
      </c>
      <c r="H31" s="27" t="n">
        <v>1</v>
      </c>
      <c r="I31" s="27" t="n">
        <v>1</v>
      </c>
      <c r="J31" s="22" t="n">
        <v>10</v>
      </c>
      <c r="K31" s="22">
        <f>IF(OR(H31="",J31="",J31=0),"",H31*J31)</f>
        <v/>
      </c>
      <c r="L31" s="5" t="inlineStr">
        <is>
          <t>Home Depot</t>
        </is>
      </c>
      <c r="M31" s="5" t="inlineStr">
        <is>
          <t>Generic #12 green ground pigtails pack</t>
        </is>
      </c>
      <c r="N31" s="5" t="inlineStr"/>
      <c r="O31" s="5" t="inlineStr">
        <is>
          <t>Confirmed</t>
        </is>
      </c>
      <c r="P31" s="5" t="inlineStr">
        <is>
          <t>medium</t>
        </is>
      </c>
      <c r="Q31" s="5" t="inlineStr">
        <is>
          <t>ДОДАНО | ДОДАНО | Ціна збір: 2026-05-28</t>
        </is>
      </c>
    </row>
    <row r="32">
      <c r="A32" s="5" t="n">
        <v>28</v>
      </c>
      <c r="B32" s="5" t="inlineStr">
        <is>
          <t>Electrical R-I</t>
        </is>
      </c>
      <c r="C32" s="5" t="inlineStr">
        <is>
          <t>Devices</t>
        </is>
      </c>
      <c r="D32" s="5" t="inlineStr">
        <is>
          <t>Junction Boxes (ceiling splice)</t>
        </is>
      </c>
      <c r="E32" s="5" t="inlineStr">
        <is>
          <t>Окремо від device boxes</t>
        </is>
      </c>
      <c r="F32" s="5" t="inlineStr">
        <is>
          <t>pcs</t>
        </is>
      </c>
      <c r="G32" s="27" t="n">
        <v>3</v>
      </c>
      <c r="H32" s="27" t="n">
        <v>5</v>
      </c>
      <c r="I32" s="27" t="n">
        <v>8</v>
      </c>
      <c r="J32" s="22" t="n">
        <v>2</v>
      </c>
      <c r="K32" s="22">
        <f>IF(OR(H32="",J32="",J32=0),"",H32*J32)</f>
        <v/>
      </c>
      <c r="L32" s="5" t="inlineStr">
        <is>
          <t>Home Depot</t>
        </is>
      </c>
      <c r="M32" s="5" t="inlineStr">
        <is>
          <t>Carlon junction boxes plastic</t>
        </is>
      </c>
      <c r="N32" s="5" t="inlineStr"/>
      <c r="O32" s="5" t="inlineStr">
        <is>
          <t>Confirmed</t>
        </is>
      </c>
      <c r="P32" s="5" t="inlineStr">
        <is>
          <t>medium</t>
        </is>
      </c>
      <c r="Q32" s="5" t="inlineStr">
        <is>
          <t>ДОДАНО | ДОДАНО: ceiling splices | Ціна збір: 2026-05-28</t>
        </is>
      </c>
    </row>
    <row r="33">
      <c r="A33" s="5" t="n">
        <v>29</v>
      </c>
      <c r="B33" s="5" t="inlineStr">
        <is>
          <t>Electrical R-I</t>
        </is>
      </c>
      <c r="C33" s="5" t="inlineStr">
        <is>
          <t>Devices</t>
        </is>
      </c>
      <c r="D33" s="5" t="inlineStr">
        <is>
          <t>GFCI + USB Outlets</t>
        </is>
      </c>
      <c r="E33" s="5" t="inlineStr">
        <is>
          <t>Modern code allowance bedroom/kitchen</t>
        </is>
      </c>
      <c r="F33" s="5" t="inlineStr">
        <is>
          <t>pcs</t>
        </is>
      </c>
      <c r="G33" s="27" t="n">
        <v>1</v>
      </c>
      <c r="H33" s="27" t="n">
        <v>2</v>
      </c>
      <c r="I33" s="27" t="n">
        <v>4</v>
      </c>
      <c r="J33" s="22" t="n">
        <v>35</v>
      </c>
      <c r="K33" s="22">
        <f>IF(OR(H33="",J33="",J33=0),"",H33*J33)</f>
        <v/>
      </c>
      <c r="L33" s="5" t="inlineStr">
        <is>
          <t>Home Depot</t>
        </is>
      </c>
      <c r="M33" s="5" t="inlineStr">
        <is>
          <t>Leviton T5832 GFCI+USB receptacle</t>
        </is>
      </c>
      <c r="N33" s="5" t="inlineStr"/>
      <c r="O33" s="5" t="inlineStr">
        <is>
          <t>TBD</t>
        </is>
      </c>
      <c r="P33" s="5" t="inlineStr">
        <is>
          <t>medium</t>
        </is>
      </c>
      <c r="Q33" s="5" t="inlineStr">
        <is>
          <t>ДОДАНО | ДОДАНО: modern code allowance | Ціна збір: 2026-05-28</t>
        </is>
      </c>
    </row>
    <row r="34">
      <c r="A34" s="5" t="n">
        <v>30</v>
      </c>
      <c r="B34" s="5" t="inlineStr">
        <is>
          <t>Electrical R-I</t>
        </is>
      </c>
      <c r="C34" s="5" t="inlineStr">
        <is>
          <t>Panel</t>
        </is>
      </c>
      <c r="D34" s="5" t="inlineStr">
        <is>
          <t>Whole-House Surge Protector</t>
        </is>
      </c>
      <c r="E34" s="5" t="inlineStr">
        <is>
          <t>SPD type 2 для subpanel</t>
        </is>
      </c>
      <c r="F34" s="5" t="inlineStr">
        <is>
          <t>pcs</t>
        </is>
      </c>
      <c r="G34" s="27" t="n">
        <v>0</v>
      </c>
      <c r="H34" s="27" t="n">
        <v>1</v>
      </c>
      <c r="I34" s="27" t="n">
        <v>1</v>
      </c>
      <c r="J34" s="22" t="n">
        <v>100</v>
      </c>
      <c r="K34" s="22">
        <f>IF(OR(H34="",J34="",J34=0),"",H34*J34)</f>
        <v/>
      </c>
      <c r="L34" s="5" t="inlineStr">
        <is>
          <t>Home Depot</t>
        </is>
      </c>
      <c r="M34" s="5" t="inlineStr">
        <is>
          <t>Eaton CHSPT2ULTRA whole-house SPD type 2</t>
        </is>
      </c>
      <c r="N34" s="5" t="inlineStr"/>
      <c r="O34" s="5" t="inlineStr">
        <is>
          <t>TBD</t>
        </is>
      </c>
      <c r="P34" s="5" t="inlineStr">
        <is>
          <t>medium</t>
        </is>
      </c>
      <c r="Q34" s="5" t="inlineStr">
        <is>
          <t>ДОДАНО (CA recommendation — Optional) | ДОДАНО: CA recommendation | Ціна збір: 2026-05-28</t>
        </is>
      </c>
    </row>
    <row r="35">
      <c r="A35" s="5" t="n">
        <v>31</v>
      </c>
      <c r="B35" s="5" t="inlineStr">
        <is>
          <t>Electrical R-I</t>
        </is>
      </c>
      <c r="C35" s="5" t="inlineStr">
        <is>
          <t>Bonding</t>
        </is>
      </c>
      <c r="D35" s="5" t="inlineStr">
        <is>
          <t>Bonding Jumpers + Clamps</t>
        </is>
      </c>
      <c r="E35" s="5" t="inlineStr">
        <is>
          <t>Metal water lines (WH)</t>
        </is>
      </c>
      <c r="F35" s="5" t="inlineStr">
        <is>
          <t>pcs</t>
        </is>
      </c>
      <c r="G35" s="27" t="n">
        <v>1</v>
      </c>
      <c r="H35" s="27" t="n">
        <v>2</v>
      </c>
      <c r="I35" s="27" t="n">
        <v>2</v>
      </c>
      <c r="J35" s="22" t="n">
        <v>8</v>
      </c>
      <c r="K35" s="22">
        <f>IF(OR(H35="",J35="",J35=0),"",H35*J35)</f>
        <v/>
      </c>
      <c r="L35" s="5" t="inlineStr">
        <is>
          <t>Home Depot</t>
        </is>
      </c>
      <c r="M35" s="5" t="inlineStr">
        <is>
          <t>Bridgeport bonding bushing + jumper</t>
        </is>
      </c>
      <c r="N35" s="5" t="inlineStr"/>
      <c r="O35" s="5" t="inlineStr">
        <is>
          <t>Confirmed</t>
        </is>
      </c>
      <c r="P35" s="5" t="inlineStr">
        <is>
          <t>medium</t>
        </is>
      </c>
      <c r="Q35" s="5" t="inlineStr">
        <is>
          <t>ДОДАНО | ДОДАНО: metal water line bonding | Ціна збір: 2026-05-28</t>
        </is>
      </c>
    </row>
    <row r="36">
      <c r="A36" s="5" t="n">
        <v>32</v>
      </c>
      <c r="B36" s="5" t="inlineStr">
        <is>
          <t>Electrical R-I</t>
        </is>
      </c>
      <c r="C36" s="5" t="inlineStr">
        <is>
          <t>Panel</t>
        </is>
      </c>
      <c r="D36" s="5" t="inlineStr">
        <is>
          <t>Ground Bar / Neutral Bar Kit</t>
        </is>
      </c>
      <c r="E36" s="5" t="inlineStr">
        <is>
          <t>Часто потрібно окремо від subpanel</t>
        </is>
      </c>
      <c r="F36" s="5" t="inlineStr">
        <is>
          <t>set</t>
        </is>
      </c>
      <c r="G36" s="27" t="n">
        <v>1</v>
      </c>
      <c r="H36" s="27" t="n">
        <v>1</v>
      </c>
      <c r="I36" s="27" t="n">
        <v>1</v>
      </c>
      <c r="J36" s="22" t="n">
        <v>15</v>
      </c>
      <c r="K36" s="22">
        <f>IF(OR(H36="",J36="",J36=0),"",H36*J36)</f>
        <v/>
      </c>
      <c r="L36" s="5" t="inlineStr">
        <is>
          <t>Home Depot</t>
        </is>
      </c>
      <c r="M36" s="5" t="inlineStr">
        <is>
          <t>Square D ground/neutral bar kit</t>
        </is>
      </c>
      <c r="N36" s="5" t="inlineStr"/>
      <c r="O36" s="5" t="inlineStr">
        <is>
          <t>Confirmed</t>
        </is>
      </c>
      <c r="P36" s="5" t="inlineStr">
        <is>
          <t>medium</t>
        </is>
      </c>
      <c r="Q36" s="5" t="inlineStr">
        <is>
          <t>ДОДАНО (review): may not be included з load center | ДОДАНО (review): окремо від subpanel | Ціна збір: 2026-05-28</t>
        </is>
      </c>
    </row>
    <row r="37">
      <c r="A37" s="5" t="n">
        <v>33</v>
      </c>
      <c r="B37" s="5" t="inlineStr">
        <is>
          <t>Electrical R-I</t>
        </is>
      </c>
      <c r="C37" s="5" t="inlineStr">
        <is>
          <t>Panel</t>
        </is>
      </c>
      <c r="D37" s="5" t="inlineStr">
        <is>
          <t>Panel Labels / Circuit Directory</t>
        </is>
      </c>
      <c r="E37" s="5" t="inlineStr">
        <is>
          <t>Identification labels</t>
        </is>
      </c>
      <c r="F37" s="5" t="inlineStr">
        <is>
          <t>set</t>
        </is>
      </c>
      <c r="G37" s="27" t="n">
        <v>1</v>
      </c>
      <c r="H37" s="27" t="n">
        <v>1</v>
      </c>
      <c r="I37" s="27" t="n">
        <v>1</v>
      </c>
      <c r="J37" s="22" t="n">
        <v>8</v>
      </c>
      <c r="K37" s="22">
        <f>IF(OR(H37="",J37="",J37=0),"",H37*J37)</f>
        <v/>
      </c>
      <c r="L37" s="5" t="inlineStr">
        <is>
          <t>Home Depot</t>
        </is>
      </c>
      <c r="M37" s="5" t="inlineStr">
        <is>
          <t>Generic panel/circuit label set</t>
        </is>
      </c>
      <c r="N37" s="5" t="inlineStr"/>
      <c r="O37" s="5" t="inlineStr">
        <is>
          <t>Confirmed</t>
        </is>
      </c>
      <c r="P37" s="5" t="inlineStr">
        <is>
          <t>medium</t>
        </is>
      </c>
      <c r="Q37" s="5" t="inlineStr">
        <is>
          <t>ДОДАНО (review) | ДОДАНО (review) | Ціна збір: 2026-05-28</t>
        </is>
      </c>
    </row>
    <row r="38">
      <c r="A38" s="5" t="n">
        <v>34</v>
      </c>
      <c r="B38" s="5" t="inlineStr">
        <is>
          <t>Electrical R-I</t>
        </is>
      </c>
      <c r="C38" s="5" t="inlineStr">
        <is>
          <t>Lighting Fixtures</t>
        </is>
      </c>
      <c r="D38" s="5" t="inlineStr">
        <is>
          <t>Under-cabinet LED Driver / Transformer</t>
        </is>
      </c>
      <c r="E38" s="5" t="inlineStr">
        <is>
          <t>Якщо kitchen LED strip</t>
        </is>
      </c>
      <c r="F38" s="5" t="inlineStr">
        <is>
          <t>pcs</t>
        </is>
      </c>
      <c r="G38" s="27" t="n">
        <v>0</v>
      </c>
      <c r="H38" s="27" t="n">
        <v>1</v>
      </c>
      <c r="I38" s="27" t="n">
        <v>1</v>
      </c>
      <c r="J38" s="22" t="n">
        <v>35</v>
      </c>
      <c r="K38" s="22">
        <f>IF(OR(H38="",J38="",J38=0),"",H38*J38)</f>
        <v/>
      </c>
      <c r="L38" s="5" t="inlineStr">
        <is>
          <t>Home Depot / IKEA</t>
        </is>
      </c>
      <c r="M38" s="5" t="inlineStr">
        <is>
          <t>Mean Well/IKEA LED driver 60W</t>
        </is>
      </c>
      <c r="N38" s="5" t="inlineStr"/>
      <c r="O38" s="5" t="inlineStr">
        <is>
          <t>Optional</t>
        </is>
      </c>
      <c r="P38" s="5" t="inlineStr">
        <is>
          <t>medium</t>
        </is>
      </c>
      <c r="Q38" s="5" t="inlineStr">
        <is>
          <t>ДОДАНО (review): для under-cabinet lighting (Phase 13) | ДОДАНО (review): under-cabinet LED — Optional, qty mid=1 only if обрано | Ціна збір: 2026-05-28</t>
        </is>
      </c>
    </row>
    <row r="39">
      <c r="A39" s="5" t="n">
        <v>35</v>
      </c>
      <c r="B39" s="5" t="inlineStr">
        <is>
          <t>Electrical R-I</t>
        </is>
      </c>
      <c r="C39" s="5" t="inlineStr">
        <is>
          <t>Low-Voltage</t>
        </is>
      </c>
      <c r="D39" s="5" t="inlineStr">
        <is>
          <t>Data / Coax Cable Allowance</t>
        </is>
      </c>
      <c r="E39" s="5" t="inlineStr">
        <is>
          <t>Cat6 + RG6 для router/TV/camera</t>
        </is>
      </c>
      <c r="F39" s="5" t="inlineStr">
        <is>
          <t>set</t>
        </is>
      </c>
      <c r="G39" s="27" t="n">
        <v>0</v>
      </c>
      <c r="H39" s="27" t="n">
        <v>1</v>
      </c>
      <c r="I39" s="27" t="n">
        <v>1</v>
      </c>
      <c r="J39" s="22" t="n">
        <v>40</v>
      </c>
      <c r="K39" s="22">
        <f>IF(OR(H39="",J39="",J39=0),"",H39*J39)</f>
        <v/>
      </c>
      <c r="L39" s="5" t="inlineStr">
        <is>
          <t>Home Depot</t>
        </is>
      </c>
      <c r="M39" s="5" t="inlineStr">
        <is>
          <t>Generic Cat6 + RG6 cable allowance</t>
        </is>
      </c>
      <c r="N39" s="5" t="inlineStr"/>
      <c r="O39" s="5" t="inlineStr">
        <is>
          <t>Optional</t>
        </is>
      </c>
      <c r="P39" s="5" t="inlineStr">
        <is>
          <t>medium</t>
        </is>
      </c>
      <c r="Q39" s="5" t="inlineStr">
        <is>
          <t>ДОДАНО (review): smart home allowance | ДОДАНО (review): low-voltage allowance — Optional | Ціна збір: 2026-05-28</t>
        </is>
      </c>
    </row>
    <row r="40">
      <c r="A40" s="5" t="n">
        <v>36</v>
      </c>
      <c r="B40" s="5" t="inlineStr">
        <is>
          <t>Electrical R-I</t>
        </is>
      </c>
      <c r="C40" s="5" t="inlineStr">
        <is>
          <t>Fire Protection</t>
        </is>
      </c>
      <c r="D40" s="5" t="inlineStr">
        <is>
          <t>Fire Caulk / Putty Pads for Boxes</t>
        </is>
      </c>
      <c r="E40" s="5" t="inlineStr">
        <is>
          <t>Penetrations і fire-rated assembly</t>
        </is>
      </c>
      <c r="F40" s="5" t="inlineStr">
        <is>
          <t>set</t>
        </is>
      </c>
      <c r="G40" s="27" t="n">
        <v>1</v>
      </c>
      <c r="H40" s="27" t="n">
        <v>1</v>
      </c>
      <c r="I40" s="27" t="n">
        <v>2</v>
      </c>
      <c r="J40" s="22" t="n">
        <v>40</v>
      </c>
      <c r="K40" s="22">
        <f>IF(OR(H40="",J40="",J40=0),"",H40*J40)</f>
        <v/>
      </c>
      <c r="L40" s="5" t="inlineStr">
        <is>
          <t>Home Depot</t>
        </is>
      </c>
      <c r="M40" s="5" t="inlineStr">
        <is>
          <t>3M fire caulk + STI putty pads</t>
        </is>
      </c>
      <c r="N40" s="5" t="inlineStr"/>
      <c r="O40" s="5" t="inlineStr">
        <is>
          <t>TBD</t>
        </is>
      </c>
      <c r="P40" s="5" t="inlineStr">
        <is>
          <t>medium</t>
        </is>
      </c>
      <c r="Q40" s="5" t="inlineStr">
        <is>
          <t>ДОДАНО (review) | ДОДАНО (review) | Ціна збір: 2026-05-28</t>
        </is>
      </c>
    </row>
    <row r="41">
      <c r="A41" s="5" t="n">
        <v>37</v>
      </c>
      <c r="B41" s="5" t="inlineStr">
        <is>
          <t>Electrical R-I</t>
        </is>
      </c>
      <c r="C41" s="5" t="inlineStr">
        <is>
          <t>Wire</t>
        </is>
      </c>
      <c r="D41" s="5" t="inlineStr">
        <is>
          <t>Spare Conduit Allowance</t>
        </is>
      </c>
      <c r="E41" s="5" t="inlineStr">
        <is>
          <t>Запас для future expansion</t>
        </is>
      </c>
      <c r="F41" s="5" t="inlineStr">
        <is>
          <t>set</t>
        </is>
      </c>
      <c r="G41" s="27" t="n">
        <v>0</v>
      </c>
      <c r="H41" s="27" t="n">
        <v>1</v>
      </c>
      <c r="I41" s="27" t="n">
        <v>1</v>
      </c>
      <c r="J41" s="22" t="n">
        <v>30</v>
      </c>
      <c r="K41" s="22">
        <f>IF(OR(H41="",J41="",J41=0),"",H41*J41)</f>
        <v/>
      </c>
      <c r="L41" s="5" t="inlineStr">
        <is>
          <t>Home Depot</t>
        </is>
      </c>
      <c r="M41" s="5" t="inlineStr">
        <is>
          <t>Generic spare conduit + fittings</t>
        </is>
      </c>
      <c r="N41" s="5" t="inlineStr"/>
      <c r="O41" s="5" t="inlineStr">
        <is>
          <t>Optional</t>
        </is>
      </c>
      <c r="P41" s="5" t="inlineStr">
        <is>
          <t>medium</t>
        </is>
      </c>
      <c r="Q41" s="5" t="inlineStr">
        <is>
          <t>ДОДАНО (review): якщо trench/walls open | ДОДАНО (review): future expansion — Optional | Ціна збір: 2026-05-28</t>
        </is>
      </c>
    </row>
    <row r="43">
      <c r="A43" s="8" t="n"/>
      <c r="B43" s="8" t="n"/>
      <c r="C43" s="9" t="inlineStr">
        <is>
          <t>ПІДСУМОК ФАЗИ</t>
        </is>
      </c>
      <c r="D43" s="8" t="n"/>
      <c r="E43" s="8" t="n"/>
      <c r="F43" s="8" t="n"/>
      <c r="G43" s="8" t="n"/>
      <c r="H43" s="8" t="n"/>
      <c r="I43" s="8" t="n"/>
      <c r="J43" s="8" t="n"/>
      <c r="K43" s="24">
        <f>SUM(K5:K41)</f>
        <v/>
      </c>
      <c r="L43" s="8" t="n"/>
      <c r="M43" s="8" t="n"/>
      <c r="N43" s="8" t="n"/>
      <c r="O43" s="8" t="n"/>
      <c r="P43" s="8" t="n"/>
      <c r="Q43" s="8" t="n"/>
    </row>
  </sheetData>
  <autoFilter ref="A4:Q41"/>
  <mergeCells count="2"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7 — HVAC Mini-Split (§22)</t>
        </is>
      </c>
    </row>
    <row r="2" ht="18" customHeight="1">
      <c r="A2" s="3" t="inlineStr">
        <is>
          <t>1 outdoor + 2 indoor units, line sets, mounting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19" t="n">
        <v>1</v>
      </c>
      <c r="B5" s="19" t="inlineStr">
        <is>
          <t>HVAC</t>
        </is>
      </c>
      <c r="C5" s="19" t="inlineStr">
        <is>
          <t>Outdoor Unit</t>
        </is>
      </c>
      <c r="D5" s="19" t="inlineStr">
        <is>
          <t>Mini-split Outdoor Condenser</t>
        </is>
      </c>
      <c r="E5" s="19" t="inlineStr">
        <is>
          <t>MRCOOL DIY 5th Gen 18k 9+9 KIT (z 2 indoor + line sets + remotes)</t>
        </is>
      </c>
      <c r="F5" s="19" t="inlineStr">
        <is>
          <t>pcs</t>
        </is>
      </c>
      <c r="G5" s="28" t="n">
        <v>1</v>
      </c>
      <c r="H5" s="28" t="n">
        <v>1</v>
      </c>
      <c r="I5" s="28" t="n">
        <v>1</v>
      </c>
      <c r="J5" s="29" t="n">
        <v>3150</v>
      </c>
      <c r="K5" s="29">
        <f>IF(OR(H5="",J5="",J5=0),"",H5*J5)</f>
        <v/>
      </c>
      <c r="L5" s="19" t="inlineStr">
        <is>
          <t>Special Order</t>
        </is>
      </c>
      <c r="M5" s="19" t="inlineStr">
        <is>
          <t>MRCOOL DIY 5th Gen 18k BTU 9k+9k kit (25ft lines)</t>
        </is>
      </c>
      <c r="N5" s="19" t="inlineStr">
        <is>
          <t>https://www.homedepot.com/p/MRCOOL-DIY-5th-Gen-18-000-BTU-1-5-Ton-2-Zone-23-9-SEER2-Ductless-Mini-Split-AC-and-Heat-Pump-with-9K-9K-and-25-25ft-Lines-DIYM218HPW03D06/337863265</t>
        </is>
      </c>
      <c r="O5" s="19" t="inlineStr">
        <is>
          <t>Confirmed</t>
        </is>
      </c>
      <c r="P5" s="19" t="inlineStr">
        <is>
          <t>high</t>
        </is>
      </c>
      <c r="Q5" s="19" t="inlineStr">
        <is>
          <t>Special Order. Full kit. Sizing TBD per §33.9 Manual J. Lead 4-8 weeks | $3,073 kit з 16ft lines + premium для 25ft = ~$3,150. Includes 2 indoor + line sets + controllers. Alt: Pioneer/Senville $2,500-2,800 | Ціна збір: 2026-05-28</t>
        </is>
      </c>
    </row>
    <row r="6">
      <c r="A6" s="19" t="n">
        <v>2</v>
      </c>
      <c r="B6" s="19" t="inlineStr">
        <is>
          <t>HVAC</t>
        </is>
      </c>
      <c r="C6" s="19" t="inlineStr">
        <is>
          <t>Indoor Units</t>
        </is>
      </c>
      <c r="D6" s="19" t="inlineStr">
        <is>
          <t>Indoor Wall Units (2)</t>
        </is>
      </c>
      <c r="E6" s="19" t="inlineStr">
        <is>
          <t>9k BTU × 2 — included in kit r5</t>
        </is>
      </c>
      <c r="F6" s="19" t="inlineStr">
        <is>
          <t>pcs</t>
        </is>
      </c>
      <c r="G6" s="28" t="n">
        <v>0</v>
      </c>
      <c r="H6" s="28" t="n">
        <v>0</v>
      </c>
      <c r="I6" s="28" t="n">
        <v>0</v>
      </c>
      <c r="J6" s="29" t="n">
        <v>0</v>
      </c>
      <c r="K6" s="29">
        <f>IF(OR(H6="",J6="",J6=0),"",H6*J6)</f>
        <v/>
      </c>
      <c r="L6" s="19" t="inlineStr">
        <is>
          <t>Special Order</t>
        </is>
      </c>
      <c r="M6" s="19" t="inlineStr">
        <is>
          <t>Cross-ref kit r5 — qty 0</t>
        </is>
      </c>
      <c r="N6" s="19" t="inlineStr"/>
      <c r="O6" s="19" t="inlineStr">
        <is>
          <t>Confirmed</t>
        </is>
      </c>
      <c r="P6" s="19" t="inlineStr">
        <is>
          <t>high</t>
        </is>
      </c>
      <c r="Q6" s="19" t="inlineStr">
        <is>
          <t>Included in main kit — do not price separately unless kit changes | Included в MRCOOL DIY kit. Standalone $400/unit if separately purchased | Ціна збір: 2026-05-28</t>
        </is>
      </c>
    </row>
    <row r="7">
      <c r="A7" s="5" t="n">
        <v>3</v>
      </c>
      <c r="B7" s="5" t="inlineStr">
        <is>
          <t>HVAC</t>
        </is>
      </c>
      <c r="C7" s="5" t="inlineStr">
        <is>
          <t>Refrigerant</t>
        </is>
      </c>
      <c r="D7" s="5" t="inlineStr">
        <is>
          <t>Line Sets (pre-charged 25 ft)</t>
        </is>
      </c>
      <c r="E7" s="5" t="inlineStr">
        <is>
          <t>Included in kit r5</t>
        </is>
      </c>
      <c r="F7" s="5" t="inlineStr">
        <is>
          <t>set</t>
        </is>
      </c>
      <c r="G7" s="27" t="n">
        <v>0</v>
      </c>
      <c r="H7" s="27" t="n">
        <v>0</v>
      </c>
      <c r="I7" s="27" t="n">
        <v>0</v>
      </c>
      <c r="J7" s="22" t="n">
        <v>0</v>
      </c>
      <c r="K7" s="22">
        <f>IF(OR(H7="",J7="",J7=0),"",H7*J7)</f>
        <v/>
      </c>
      <c r="L7" s="5" t="inlineStr">
        <is>
          <t>Home Depot / specialty</t>
        </is>
      </c>
      <c r="M7" s="5" t="inlineStr">
        <is>
          <t>Cross-ref kit r5 — qty 0</t>
        </is>
      </c>
      <c r="N7" s="5" t="inlineStr"/>
      <c r="O7" s="5" t="inlineStr">
        <is>
          <t>Confirmed</t>
        </is>
      </c>
      <c r="P7" s="5" t="inlineStr">
        <is>
          <t>high</t>
        </is>
      </c>
      <c r="Q7" s="5" t="inlineStr">
        <is>
          <t>Included in main kit | Included в kit. Standalone $100/set if separately | Ціна збір: 2026-05-28</t>
        </is>
      </c>
    </row>
    <row r="8">
      <c r="A8" s="5" t="n">
        <v>4</v>
      </c>
      <c r="B8" s="5" t="inlineStr">
        <is>
          <t>HVAC</t>
        </is>
      </c>
      <c r="C8" s="5" t="inlineStr">
        <is>
          <t>Condensate</t>
        </is>
      </c>
      <c r="D8" s="5" t="inlineStr">
        <is>
          <t>Condensate Drain Lines</t>
        </is>
      </c>
      <c r="E8" s="5" t="inlineStr">
        <is>
          <t>3/4" PVC + fittings (2 sets)</t>
        </is>
      </c>
      <c r="F8" s="5" t="inlineStr">
        <is>
          <t>set</t>
        </is>
      </c>
      <c r="G8" s="27" t="n">
        <v>2</v>
      </c>
      <c r="H8" s="27" t="n">
        <v>2</v>
      </c>
      <c r="I8" s="27" t="n">
        <v>2</v>
      </c>
      <c r="J8" s="22" t="n">
        <v>30</v>
      </c>
      <c r="K8" s="22">
        <f>IF(OR(H8="",J8="",J8=0),"",H8*J8)</f>
        <v/>
      </c>
      <c r="L8" s="5" t="inlineStr">
        <is>
          <t>Home Depot</t>
        </is>
      </c>
      <c r="M8" s="5" t="inlineStr">
        <is>
          <t>Generic 3/4 PVC + fittings</t>
        </is>
      </c>
      <c r="N8" s="5" t="inlineStr"/>
      <c r="O8" s="5" t="inlineStr">
        <is>
          <t>Confirmed</t>
        </is>
      </c>
      <c r="P8" s="5" t="inlineStr">
        <is>
          <t>medium</t>
        </is>
      </c>
      <c r="Q8" s="5" t="inlineStr">
        <is>
          <t>Per set | Ціна збір: 2026-05-28</t>
        </is>
      </c>
    </row>
    <row r="9">
      <c r="A9" s="5" t="n">
        <v>5</v>
      </c>
      <c r="B9" s="5" t="inlineStr">
        <is>
          <t>HVAC</t>
        </is>
      </c>
      <c r="C9" s="5" t="inlineStr">
        <is>
          <t>Penetrations</t>
        </is>
      </c>
      <c r="D9" s="5" t="inlineStr">
        <is>
          <t>Wall Sleeves</t>
        </is>
      </c>
      <c r="E9" s="5" t="inlineStr">
        <is>
          <t>Прохід крізь стіну (2)</t>
        </is>
      </c>
      <c r="F9" s="5" t="inlineStr">
        <is>
          <t>pcs</t>
        </is>
      </c>
      <c r="G9" s="27" t="n">
        <v>2</v>
      </c>
      <c r="H9" s="27" t="n">
        <v>2</v>
      </c>
      <c r="I9" s="27" t="n">
        <v>2</v>
      </c>
      <c r="J9" s="22" t="n">
        <v>30</v>
      </c>
      <c r="K9" s="22">
        <f>IF(OR(H9="",J9="",J9=0),"",H9*J9)</f>
        <v/>
      </c>
      <c r="L9" s="5" t="inlineStr">
        <is>
          <t>Home Depot</t>
        </is>
      </c>
      <c r="M9" s="5" t="inlineStr">
        <is>
          <t>Generic 3-inch wall sleeve</t>
        </is>
      </c>
      <c r="N9" s="5" t="inlineStr"/>
      <c r="O9" s="5" t="inlineStr">
        <is>
          <t>Confirmed</t>
        </is>
      </c>
      <c r="P9" s="5" t="inlineStr">
        <is>
          <t>medium</t>
        </is>
      </c>
      <c r="Q9" s="5" t="inlineStr">
        <is>
          <t>Per unit | Ціна збір: 2026-05-28</t>
        </is>
      </c>
    </row>
    <row r="10">
      <c r="A10" s="5" t="n">
        <v>6</v>
      </c>
      <c r="B10" s="5" t="inlineStr">
        <is>
          <t>HVAC</t>
        </is>
      </c>
      <c r="C10" s="5" t="inlineStr">
        <is>
          <t>Mounting</t>
        </is>
      </c>
      <c r="D10" s="5" t="inlineStr">
        <is>
          <t>Wall Bracket (Optional)</t>
        </is>
      </c>
      <c r="E10" s="5" t="inlineStr">
        <is>
          <t>Optional alternative якщо ground placement не suitable</t>
        </is>
      </c>
      <c r="F10" s="5" t="inlineStr">
        <is>
          <t>pcs</t>
        </is>
      </c>
      <c r="G10" s="27" t="n">
        <v>0</v>
      </c>
      <c r="H10" s="27" t="n">
        <v>0</v>
      </c>
      <c r="I10" s="27" t="n">
        <v>1</v>
      </c>
      <c r="J10" s="22" t="n">
        <v>35</v>
      </c>
      <c r="K10" s="22">
        <f>IF(OR(H10="",J10="",J10=0),"",H10*J10)</f>
        <v/>
      </c>
      <c r="L10" s="5" t="inlineStr">
        <is>
          <t>Home Depot</t>
        </is>
      </c>
      <c r="M10" s="5" t="inlineStr">
        <is>
          <t>Quick-Sling wall bracket allowance</t>
        </is>
      </c>
      <c r="N10" s="5" t="inlineStr"/>
      <c r="O10" s="5" t="inlineStr">
        <is>
          <t>Optional</t>
        </is>
      </c>
      <c r="P10" s="5" t="inlineStr">
        <is>
          <t>medium</t>
        </is>
      </c>
      <c r="Q10" s="5" t="inlineStr">
        <is>
          <t>Baseline = concrete pad (r14). Wall bracket only якщо ground не підходить | Optional alternative — baseline = concrete pad r14 | Ціна збір: 2026-05-28</t>
        </is>
      </c>
    </row>
    <row r="11">
      <c r="A11" s="5" t="n">
        <v>7</v>
      </c>
      <c r="B11" s="5" t="inlineStr">
        <is>
          <t>HVAC</t>
        </is>
      </c>
      <c r="C11" s="5" t="inlineStr">
        <is>
          <t>Trim</t>
        </is>
      </c>
      <c r="D11" s="5" t="inlineStr">
        <is>
          <t>Line Hide / Cover Kits</t>
        </is>
      </c>
      <c r="E11" s="5" t="inlineStr">
        <is>
          <t>Decorative exterior cover</t>
        </is>
      </c>
      <c r="F11" s="5" t="inlineStr">
        <is>
          <t>set</t>
        </is>
      </c>
      <c r="G11" s="27" t="n">
        <v>1</v>
      </c>
      <c r="H11" s="27" t="n">
        <v>1</v>
      </c>
      <c r="I11" s="27" t="n">
        <v>2</v>
      </c>
      <c r="J11" s="22" t="n">
        <v>70</v>
      </c>
      <c r="K11" s="22">
        <f>IF(OR(H11="",J11="",J11=0),"",H11*J11)</f>
        <v/>
      </c>
      <c r="L11" s="5" t="inlineStr">
        <is>
          <t>Home Depot</t>
        </is>
      </c>
      <c r="M11" s="5" t="inlineStr">
        <is>
          <t>Mitsubishi/Pioneer line hide kit</t>
        </is>
      </c>
      <c r="N11" s="5" t="inlineStr"/>
      <c r="O11" s="5" t="inlineStr">
        <is>
          <t>TBD</t>
        </is>
      </c>
      <c r="P11" s="5" t="inlineStr">
        <is>
          <t>medium</t>
        </is>
      </c>
      <c r="Q11" s="5" t="inlineStr">
        <is>
          <t>Decorative cover, 7-8 ft length | Ціна збір: 2026-05-28</t>
        </is>
      </c>
    </row>
    <row r="12">
      <c r="A12" s="5" t="n">
        <v>8</v>
      </c>
      <c r="B12" s="5" t="inlineStr">
        <is>
          <t>HVAC</t>
        </is>
      </c>
      <c r="C12" s="5" t="inlineStr">
        <is>
          <t>Mounting</t>
        </is>
      </c>
      <c r="D12" s="5" t="inlineStr">
        <is>
          <t>Mounting Hardware</t>
        </is>
      </c>
      <c r="E12" s="5" t="inlineStr">
        <is>
          <t>Lag bolts + brackets + screws</t>
        </is>
      </c>
      <c r="F12" s="5" t="inlineStr">
        <is>
          <t>set</t>
        </is>
      </c>
      <c r="G12" s="27" t="n">
        <v>1</v>
      </c>
      <c r="H12" s="27" t="n">
        <v>1</v>
      </c>
      <c r="I12" s="27" t="n">
        <v>1</v>
      </c>
      <c r="J12" s="22" t="n">
        <v>40</v>
      </c>
      <c r="K12" s="22">
        <f>IF(OR(H12="",J12="",J12=0),"",H12*J12)</f>
        <v/>
      </c>
      <c r="L12" s="5" t="inlineStr">
        <is>
          <t>Home Depot</t>
        </is>
      </c>
      <c r="M12" s="5" t="inlineStr">
        <is>
          <t>Generic lag bolts + brackets pack</t>
        </is>
      </c>
      <c r="N12" s="5" t="inlineStr"/>
      <c r="O12" s="5" t="inlineStr">
        <is>
          <t>Confirmed</t>
        </is>
      </c>
      <c r="P12" s="5" t="inlineStr">
        <is>
          <t>medium</t>
        </is>
      </c>
      <c r="Q12" s="5" t="inlineStr">
        <is>
          <t>Mounting hardware | Ціна збір: 2026-05-28</t>
        </is>
      </c>
    </row>
    <row r="13">
      <c r="A13" s="5" t="n">
        <v>9</v>
      </c>
      <c r="B13" s="5" t="inlineStr">
        <is>
          <t>HVAC</t>
        </is>
      </c>
      <c r="C13" s="5" t="inlineStr">
        <is>
          <t>Controls</t>
        </is>
      </c>
      <c r="D13" s="5" t="inlineStr">
        <is>
          <t>Controllers / Remotes</t>
        </is>
      </c>
      <c r="E13" s="5" t="inlineStr">
        <is>
          <t>Included in kit r5</t>
        </is>
      </c>
      <c r="F13" s="5" t="inlineStr">
        <is>
          <t>pcs</t>
        </is>
      </c>
      <c r="G13" s="27" t="n">
        <v>0</v>
      </c>
      <c r="H13" s="27" t="n">
        <v>0</v>
      </c>
      <c r="I13" s="27" t="n">
        <v>0</v>
      </c>
      <c r="J13" s="22" t="n">
        <v>0</v>
      </c>
      <c r="K13" s="22">
        <f>IF(OR(H13="",J13="",J13=0),"",H13*J13)</f>
        <v/>
      </c>
      <c r="L13" s="5" t="inlineStr">
        <is>
          <t>Manufacturer</t>
        </is>
      </c>
      <c r="M13" s="5" t="inlineStr">
        <is>
          <t>Included з indoor units</t>
        </is>
      </c>
      <c r="N13" s="5" t="inlineStr"/>
      <c r="O13" s="5" t="inlineStr">
        <is>
          <t>Confirmed</t>
        </is>
      </c>
      <c r="P13" s="5" t="inlineStr">
        <is>
          <t>high</t>
        </is>
      </c>
      <c r="Q13" s="5" t="inlineStr">
        <is>
          <t>Included з indoor units in kit | Standard remote included | Ціна збір: 2026-05-28</t>
        </is>
      </c>
    </row>
    <row r="14">
      <c r="A14" s="5" t="n">
        <v>10</v>
      </c>
      <c r="B14" s="5" t="inlineStr">
        <is>
          <t>HVAC</t>
        </is>
      </c>
      <c r="C14" s="5" t="inlineStr">
        <is>
          <t>Mounting</t>
        </is>
      </c>
      <c r="D14" s="5" t="inlineStr">
        <is>
          <t>Concrete Pad для Outdoor Unit</t>
        </is>
      </c>
      <c r="E14" s="5" t="inlineStr">
        <is>
          <t>36×36" precast — BASELINE mount</t>
        </is>
      </c>
      <c r="F14" s="5" t="inlineStr">
        <is>
          <t>pcs</t>
        </is>
      </c>
      <c r="G14" s="27" t="n">
        <v>1</v>
      </c>
      <c r="H14" s="27" t="n">
        <v>1</v>
      </c>
      <c r="I14" s="27" t="n">
        <v>1</v>
      </c>
      <c r="J14" s="22" t="n">
        <v>35</v>
      </c>
      <c r="K14" s="22">
        <f>IF(OR(H14="",J14="",J14=0),"",H14*J14)</f>
        <v/>
      </c>
      <c r="L14" s="5" t="inlineStr">
        <is>
          <t>Home Depot</t>
        </is>
      </c>
      <c r="M14" s="5" t="inlineStr">
        <is>
          <t>Diversitech precast 36x36 pad</t>
        </is>
      </c>
      <c r="N14" s="5" t="inlineStr"/>
      <c r="O14" s="5" t="inlineStr">
        <is>
          <t>Confirmed</t>
        </is>
      </c>
      <c r="P14" s="5" t="inlineStr">
        <is>
          <t>medium</t>
        </is>
      </c>
      <c r="Q14" s="5" t="inlineStr">
        <is>
          <t>Baseline mounting. Wall bracket — Optional alternative (r10) | ДОДАНО: stable base + CA seismic | Ціна збір: 2026-05-28</t>
        </is>
      </c>
    </row>
    <row r="15">
      <c r="A15" s="5" t="n">
        <v>11</v>
      </c>
      <c r="B15" s="5" t="inlineStr">
        <is>
          <t>HVAC</t>
        </is>
      </c>
      <c r="C15" s="5" t="inlineStr">
        <is>
          <t>Mounting</t>
        </is>
      </c>
      <c r="D15" s="5" t="inlineStr">
        <is>
          <t>Vibration Isolation Pads</t>
        </is>
      </c>
      <c r="E15" s="5" t="inlineStr">
        <is>
          <t>Rubber/cork pads під condenser</t>
        </is>
      </c>
      <c r="F15" s="5" t="inlineStr">
        <is>
          <t>set</t>
        </is>
      </c>
      <c r="G15" s="27" t="n">
        <v>1</v>
      </c>
      <c r="H15" s="27" t="n">
        <v>1</v>
      </c>
      <c r="I15" s="27" t="n">
        <v>1</v>
      </c>
      <c r="J15" s="22" t="n">
        <v>20</v>
      </c>
      <c r="K15" s="22">
        <f>IF(OR(H15="",J15="",J15=0),"",H15*J15)</f>
        <v/>
      </c>
      <c r="L15" s="5" t="inlineStr">
        <is>
          <t>Home Depot</t>
        </is>
      </c>
      <c r="M15" s="5" t="inlineStr">
        <is>
          <t>Diversitech rubber/cork pads</t>
        </is>
      </c>
      <c r="N15" s="5" t="inlineStr"/>
      <c r="O15" s="5" t="inlineStr">
        <is>
          <t>Confirmed</t>
        </is>
      </c>
      <c r="P15" s="5" t="inlineStr">
        <is>
          <t>medium</t>
        </is>
      </c>
      <c r="Q15" s="5" t="inlineStr">
        <is>
          <t>Noise/vibration reduction | ДОДАНО: noise/vibration | Ціна збір: 2026-05-28</t>
        </is>
      </c>
    </row>
    <row r="16">
      <c r="A16" s="5" t="n">
        <v>12</v>
      </c>
      <c r="B16" s="5" t="inlineStr">
        <is>
          <t>HVAC</t>
        </is>
      </c>
      <c r="C16" s="5" t="inlineStr">
        <is>
          <t>Condensate</t>
        </is>
      </c>
      <c r="D16" s="5" t="inlineStr">
        <is>
          <t>Condensate Trap / Vent</t>
        </is>
      </c>
      <c r="E16" s="5" t="inlineStr">
        <is>
          <t>Prevent air-lock в drain line</t>
        </is>
      </c>
      <c r="F16" s="5" t="inlineStr">
        <is>
          <t>pcs</t>
        </is>
      </c>
      <c r="G16" s="27" t="n">
        <v>1</v>
      </c>
      <c r="H16" s="27" t="n">
        <v>2</v>
      </c>
      <c r="I16" s="27" t="n">
        <v>2</v>
      </c>
      <c r="J16" s="22" t="n">
        <v>15</v>
      </c>
      <c r="K16" s="22">
        <f>IF(OR(H16="",J16="",J16=0),"",H16*J16)</f>
        <v/>
      </c>
      <c r="L16" s="5" t="inlineStr">
        <is>
          <t>Home Depot</t>
        </is>
      </c>
      <c r="M16" s="5" t="inlineStr">
        <is>
          <t>Generic 3/4 PVC condensate trap</t>
        </is>
      </c>
      <c r="N16" s="5" t="inlineStr"/>
      <c r="O16" s="5" t="inlineStr">
        <is>
          <t>Confirmed</t>
        </is>
      </c>
      <c r="P16" s="5" t="inlineStr">
        <is>
          <t>medium</t>
        </is>
      </c>
      <c r="Q16" s="5" t="inlineStr">
        <is>
          <t>ДОДАНО | Ціна збір: 2026-05-28</t>
        </is>
      </c>
    </row>
    <row r="17">
      <c r="A17" s="5" t="n">
        <v>13</v>
      </c>
      <c r="B17" s="5" t="inlineStr">
        <is>
          <t>HVAC</t>
        </is>
      </c>
      <c r="C17" s="5" t="inlineStr">
        <is>
          <t>Condensate</t>
        </is>
      </c>
      <c r="D17" s="5" t="inlineStr">
        <is>
          <t>Condensate Pump (Optional)</t>
        </is>
      </c>
      <c r="E17" s="5" t="inlineStr">
        <is>
          <t>Якщо gravity drain неможливий</t>
        </is>
      </c>
      <c r="F17" s="5" t="inlineStr">
        <is>
          <t>pcs</t>
        </is>
      </c>
      <c r="G17" s="27" t="n">
        <v>0</v>
      </c>
      <c r="H17" s="27" t="n">
        <v>0</v>
      </c>
      <c r="I17" s="27" t="n">
        <v>1</v>
      </c>
      <c r="J17" s="22" t="n">
        <v>100</v>
      </c>
      <c r="K17" s="22">
        <f>IF(OR(H17="",J17="",J17=0),"",H17*J17)</f>
        <v/>
      </c>
      <c r="L17" s="5" t="inlineStr">
        <is>
          <t>Home Depot</t>
        </is>
      </c>
      <c r="M17" s="5" t="inlineStr">
        <is>
          <t>Aspen Mini Aqua condensate pump</t>
        </is>
      </c>
      <c r="N17" s="5" t="inlineStr"/>
      <c r="O17" s="5" t="inlineStr">
        <is>
          <t>Optional</t>
        </is>
      </c>
      <c r="P17" s="5" t="inlineStr">
        <is>
          <t>medium</t>
        </is>
      </c>
      <c r="Q17" s="5" t="inlineStr">
        <is>
          <t>Backup allowance | ДОДАНО: optional, qty 0 baseline | Ціна збір: 2026-05-28</t>
        </is>
      </c>
    </row>
    <row r="18">
      <c r="A18" s="5" t="n">
        <v>14</v>
      </c>
      <c r="B18" s="5" t="inlineStr">
        <is>
          <t>HVAC</t>
        </is>
      </c>
      <c r="C18" s="5" t="inlineStr">
        <is>
          <t>Maintenance</t>
        </is>
      </c>
      <c r="D18" s="5" t="inlineStr">
        <is>
          <t>Replacement Filters (set)</t>
        </is>
      </c>
      <c r="E18" s="5" t="inlineStr">
        <is>
          <t>Initial + 2-3 spare per indoor</t>
        </is>
      </c>
      <c r="F18" s="5" t="inlineStr">
        <is>
          <t>set</t>
        </is>
      </c>
      <c r="G18" s="27" t="n">
        <v>1</v>
      </c>
      <c r="H18" s="27" t="n">
        <v>1</v>
      </c>
      <c r="I18" s="27" t="n">
        <v>2</v>
      </c>
      <c r="J18" s="22" t="n">
        <v>30</v>
      </c>
      <c r="K18" s="22">
        <f>IF(OR(H18="",J18="",J18=0),"",H18*J18)</f>
        <v/>
      </c>
      <c r="L18" s="5" t="inlineStr">
        <is>
          <t>Home Depot / Amazon</t>
        </is>
      </c>
      <c r="M18" s="5" t="inlineStr">
        <is>
          <t>Generic mesh filters set 4-pack</t>
        </is>
      </c>
      <c r="N18" s="5" t="inlineStr"/>
      <c r="O18" s="5" t="inlineStr">
        <is>
          <t>Confirmed</t>
        </is>
      </c>
      <c r="P18" s="5" t="inlineStr">
        <is>
          <t>medium</t>
        </is>
      </c>
      <c r="Q18" s="5" t="inlineStr">
        <is>
          <t>ДОДАНО | Ціна збір: 2026-05-28</t>
        </is>
      </c>
    </row>
    <row r="19">
      <c r="A19" s="5" t="n">
        <v>15</v>
      </c>
      <c r="B19" s="5" t="inlineStr">
        <is>
          <t>HVAC</t>
        </is>
      </c>
      <c r="C19" s="5" t="inlineStr">
        <is>
          <t>Controls</t>
        </is>
      </c>
      <c r="D19" s="5" t="inlineStr">
        <is>
          <t>Wi-Fi Smart Adapter</t>
        </is>
      </c>
      <c r="E19" s="5" t="inlineStr">
        <is>
          <t>Modern control (часто sold окремо)</t>
        </is>
      </c>
      <c r="F19" s="5" t="inlineStr">
        <is>
          <t>pcs</t>
        </is>
      </c>
      <c r="G19" s="27" t="n">
        <v>0</v>
      </c>
      <c r="H19" s="27" t="n">
        <v>1</v>
      </c>
      <c r="I19" s="27" t="n">
        <v>2</v>
      </c>
      <c r="J19" s="22" t="n">
        <v>50</v>
      </c>
      <c r="K19" s="22">
        <f>IF(OR(H19="",J19="",J19=0),"",H19*J19)</f>
        <v/>
      </c>
      <c r="L19" s="5" t="inlineStr">
        <is>
          <t>Amazon</t>
        </is>
      </c>
      <c r="M19" s="5" t="inlineStr">
        <is>
          <t>Cielo Breez Plus / generic Wi-Fi</t>
        </is>
      </c>
      <c r="N19" s="5" t="inlineStr"/>
      <c r="O19" s="5" t="inlineStr">
        <is>
          <t>Optional</t>
        </is>
      </c>
      <c r="P19" s="5" t="inlineStr">
        <is>
          <t>medium</t>
        </is>
      </c>
      <c r="Q19" s="5" t="inlineStr">
        <is>
          <t>Smart home allowance | ДОДАНО: smart home | Ціна збір: 2026-05-28</t>
        </is>
      </c>
    </row>
    <row r="20">
      <c r="A20" s="5" t="n">
        <v>16</v>
      </c>
      <c r="B20" s="5" t="inlineStr">
        <is>
          <t>HVAC</t>
        </is>
      </c>
      <c r="C20" s="5" t="inlineStr">
        <is>
          <t>Refrigerant</t>
        </is>
      </c>
      <c r="D20" s="5" t="inlineStr">
        <is>
          <t>R-410A Refrigerant (extra)</t>
        </is>
      </c>
      <c r="E20" s="5" t="inlineStr">
        <is>
          <t>Якщо line set &gt;25 ft або leak</t>
        </is>
      </c>
      <c r="F20" s="5" t="inlineStr">
        <is>
          <t>lb</t>
        </is>
      </c>
      <c r="G20" s="27" t="n">
        <v>0</v>
      </c>
      <c r="H20" s="27" t="n">
        <v>0</v>
      </c>
      <c r="I20" s="27" t="n">
        <v>5</v>
      </c>
      <c r="J20" s="22" t="n">
        <v>30</v>
      </c>
      <c r="K20" s="22">
        <f>IF(OR(H20="",J20="",J20=0),"",H20*J20)</f>
        <v/>
      </c>
      <c r="L20" s="5" t="inlineStr">
        <is>
          <t>Home Depot / specialty</t>
        </is>
      </c>
      <c r="M20" s="5" t="inlineStr">
        <is>
          <t>R-410A per lb</t>
        </is>
      </c>
      <c r="N20" s="5" t="inlineStr"/>
      <c r="O20" s="5" t="inlineStr">
        <is>
          <t>Optional</t>
        </is>
      </c>
      <c r="P20" s="5" t="inlineStr">
        <is>
          <t>medium</t>
        </is>
      </c>
      <c r="Q20" s="5" t="inlineStr">
        <is>
          <t>Pre-charge typically ≤25 ft. Optional only | ДОДАНО: qty 0 baseline (pre-charge sufficient) | Ціна збір: 2026-05-28</t>
        </is>
      </c>
    </row>
    <row r="21">
      <c r="A21" s="5" t="n">
        <v>17</v>
      </c>
      <c r="B21" s="5" t="inlineStr">
        <is>
          <t>HVAC</t>
        </is>
      </c>
      <c r="C21" s="5" t="inlineStr">
        <is>
          <t>Refrigerant</t>
        </is>
      </c>
      <c r="D21" s="5" t="inlineStr">
        <is>
          <t>Flare Fittings / Nuts</t>
        </is>
      </c>
      <c r="E21" s="5" t="inlineStr">
        <is>
          <t>Refrigerant line connections — verify if included з kit</t>
        </is>
      </c>
      <c r="F21" s="5" t="inlineStr">
        <is>
          <t>pack</t>
        </is>
      </c>
      <c r="G21" s="27" t="n">
        <v>1</v>
      </c>
      <c r="H21" s="27" t="n">
        <v>1</v>
      </c>
      <c r="I21" s="27" t="n">
        <v>1</v>
      </c>
      <c r="J21" s="22" t="n">
        <v>15</v>
      </c>
      <c r="K21" s="22">
        <f>IF(OR(H21="",J21="",J21=0),"",H21*J21)</f>
        <v/>
      </c>
      <c r="L21" s="5" t="inlineStr">
        <is>
          <t>Home Depot</t>
        </is>
      </c>
      <c r="M21" s="5" t="inlineStr">
        <is>
          <t>Generic flare nuts/fittings pack</t>
        </is>
      </c>
      <c r="N21" s="5" t="inlineStr"/>
      <c r="O21" s="5" t="inlineStr">
        <is>
          <t>Confirmed</t>
        </is>
      </c>
      <c r="P21" s="5" t="inlineStr">
        <is>
          <t>medium</t>
        </is>
      </c>
      <c r="Q21" s="5" t="inlineStr">
        <is>
          <t>DIY quick-connect kits часто mають flares pre-installed | ДОДАНО | Ціна збір: 2026-05-28</t>
        </is>
      </c>
    </row>
    <row r="22">
      <c r="A22" s="5" t="n">
        <v>18</v>
      </c>
      <c r="B22" s="5" t="inlineStr">
        <is>
          <t>HVAC</t>
        </is>
      </c>
      <c r="C22" s="5" t="inlineStr">
        <is>
          <t>Refrigerant</t>
        </is>
      </c>
      <c r="D22" s="5" t="inlineStr">
        <is>
          <t>Insulation Tape / Sealant</t>
        </is>
      </c>
      <c r="E22" s="5" t="inlineStr">
        <is>
          <t>Line set joint tightness</t>
        </is>
      </c>
      <c r="F22" s="5" t="inlineStr">
        <is>
          <t>rolls</t>
        </is>
      </c>
      <c r="G22" s="27" t="n">
        <v>1</v>
      </c>
      <c r="H22" s="27" t="n">
        <v>1</v>
      </c>
      <c r="I22" s="27" t="n">
        <v>2</v>
      </c>
      <c r="J22" s="22" t="n">
        <v>10</v>
      </c>
      <c r="K22" s="22">
        <f>IF(OR(H22="",J22="",J22=0),"",H22*J22)</f>
        <v/>
      </c>
      <c r="L22" s="5" t="inlineStr">
        <is>
          <t>Home Depot</t>
        </is>
      </c>
      <c r="M22" s="5" t="inlineStr">
        <is>
          <t>Armaflex insulation tape</t>
        </is>
      </c>
      <c r="N22" s="5" t="inlineStr"/>
      <c r="O22" s="5" t="inlineStr">
        <is>
          <t>Confirmed</t>
        </is>
      </c>
      <c r="P22" s="5" t="inlineStr">
        <is>
          <t>medium</t>
        </is>
      </c>
      <c r="Q22" s="5" t="inlineStr">
        <is>
          <t>ДОДАНО | Ціна збір: 2026-05-28</t>
        </is>
      </c>
    </row>
    <row r="23">
      <c r="A23" s="5" t="n">
        <v>19</v>
      </c>
      <c r="B23" s="5" t="inlineStr">
        <is>
          <t>HVAC</t>
        </is>
      </c>
      <c r="C23" s="5" t="inlineStr">
        <is>
          <t>Safety</t>
        </is>
      </c>
      <c r="D23" s="5" t="inlineStr">
        <is>
          <t>Leak Detector / Drip Tray</t>
        </is>
      </c>
      <c r="E23" s="5" t="inlineStr">
        <is>
          <t>Indoor unit leak protection — Optional</t>
        </is>
      </c>
      <c r="F23" s="5" t="inlineStr">
        <is>
          <t>pcs</t>
        </is>
      </c>
      <c r="G23" s="27" t="n">
        <v>0</v>
      </c>
      <c r="H23" s="27" t="n">
        <v>1</v>
      </c>
      <c r="I23" s="27" t="n">
        <v>2</v>
      </c>
      <c r="J23" s="22" t="n">
        <v>20</v>
      </c>
      <c r="K23" s="22">
        <f>IF(OR(H23="",J23="",J23=0),"",H23*J23)</f>
        <v/>
      </c>
      <c r="L23" s="5" t="inlineStr">
        <is>
          <t>Home Depot</t>
        </is>
      </c>
      <c r="M23" s="5" t="inlineStr">
        <is>
          <t>Generic drip pan + leak sensor</t>
        </is>
      </c>
      <c r="N23" s="5" t="inlineStr"/>
      <c r="O23" s="5" t="inlineStr">
        <is>
          <t>Optional</t>
        </is>
      </c>
      <c r="P23" s="5" t="inlineStr">
        <is>
          <t>medium</t>
        </is>
      </c>
      <c r="Q23" s="5" t="inlineStr">
        <is>
          <t>Optional. Drip pan only if compatible з selected indoor unit/location | Optional. Drip pan only if compatible з indoor unit | Ціна збір: 2026-05-28</t>
        </is>
      </c>
    </row>
    <row r="24">
      <c r="A24" s="5" t="n">
        <v>20</v>
      </c>
      <c r="B24" s="5" t="inlineStr">
        <is>
          <t>HVAC</t>
        </is>
      </c>
      <c r="C24" s="5" t="inlineStr">
        <is>
          <t>Penetrations</t>
        </is>
      </c>
      <c r="D24" s="5" t="inlineStr">
        <is>
          <t>Penetration Sealant / Putty</t>
        </is>
      </c>
      <c r="E24" s="5" t="inlineStr">
        <is>
          <t>Exterior wall sleeve sealing</t>
        </is>
      </c>
      <c r="F24" s="5" t="inlineStr">
        <is>
          <t>tubes</t>
        </is>
      </c>
      <c r="G24" s="27" t="n">
        <v>1</v>
      </c>
      <c r="H24" s="27" t="n">
        <v>2</v>
      </c>
      <c r="I24" s="27" t="n">
        <v>3</v>
      </c>
      <c r="J24" s="22" t="n">
        <v>8</v>
      </c>
      <c r="K24" s="22">
        <f>IF(OR(H24="",J24="",J24=0),"",H24*J24)</f>
        <v/>
      </c>
      <c r="L24" s="5" t="inlineStr">
        <is>
          <t>Home Depot</t>
        </is>
      </c>
      <c r="M24" s="5" t="inlineStr">
        <is>
          <t>GE Silicone II / DAP penetration sealant</t>
        </is>
      </c>
      <c r="N24" s="5" t="inlineStr"/>
      <c r="O24" s="5" t="inlineStr">
        <is>
          <t>Confirmed</t>
        </is>
      </c>
      <c r="P24" s="5" t="inlineStr">
        <is>
          <t>medium</t>
        </is>
      </c>
      <c r="Q24" s="5" t="inlineStr">
        <is>
          <t>ДОДАНО (review): line-set/wall sleeve waterproofing | ДОДАНО (review): per tube, exterior waterproofing | Ціна збір: 2026-05-28</t>
        </is>
      </c>
    </row>
    <row r="25">
      <c r="A25" s="5" t="n">
        <v>21</v>
      </c>
      <c r="B25" s="5" t="inlineStr">
        <is>
          <t>HVAC</t>
        </is>
      </c>
      <c r="C25" s="5" t="inlineStr">
        <is>
          <t>Penetrations</t>
        </is>
      </c>
      <c r="D25" s="5" t="inlineStr">
        <is>
          <t>Wall Cap / Line-set Penetration Cover</t>
        </is>
      </c>
      <c r="E25" s="5" t="inlineStr">
        <is>
          <t>Закрити прохід через exterior wall</t>
        </is>
      </c>
      <c r="F25" s="5" t="inlineStr">
        <is>
          <t>pcs</t>
        </is>
      </c>
      <c r="G25" s="27" t="n">
        <v>1</v>
      </c>
      <c r="H25" s="27" t="n">
        <v>2</v>
      </c>
      <c r="I25" s="27" t="n">
        <v>2</v>
      </c>
      <c r="J25" s="22" t="n">
        <v>12</v>
      </c>
      <c r="K25" s="22">
        <f>IF(OR(H25="",J25="",J25=0),"",H25*J25)</f>
        <v/>
      </c>
      <c r="L25" s="5" t="inlineStr">
        <is>
          <t>Home Depot</t>
        </is>
      </c>
      <c r="M25" s="5" t="inlineStr">
        <is>
          <t>Generic line-set wall cap / penetration cover</t>
        </is>
      </c>
      <c r="N25" s="5" t="inlineStr"/>
      <c r="O25" s="5" t="inlineStr">
        <is>
          <t>Confirmed</t>
        </is>
      </c>
      <c r="P25" s="5" t="inlineStr">
        <is>
          <t>medium</t>
        </is>
      </c>
      <c r="Q25" s="5" t="inlineStr">
        <is>
          <t>ДОДАНО (review) | ДОДАНО (review): per pc | Ціна збір: 2026-05-28</t>
        </is>
      </c>
    </row>
    <row r="26">
      <c r="A26" s="5" t="n">
        <v>22</v>
      </c>
      <c r="B26" s="5" t="inlineStr">
        <is>
          <t>HVAC</t>
        </is>
      </c>
      <c r="C26" s="5" t="inlineStr">
        <is>
          <t>Mounting</t>
        </is>
      </c>
      <c r="D26" s="5" t="inlineStr">
        <is>
          <t>UV-rated Zip Ties / Line Set Clamps</t>
        </is>
      </c>
      <c r="E26" s="5" t="inlineStr">
        <is>
          <t>Кріплення line set, condensate, line hide</t>
        </is>
      </c>
      <c r="F26" s="5" t="inlineStr">
        <is>
          <t>pack</t>
        </is>
      </c>
      <c r="G26" s="27" t="n">
        <v>1</v>
      </c>
      <c r="H26" s="27" t="n">
        <v>1</v>
      </c>
      <c r="I26" s="27" t="n">
        <v>2</v>
      </c>
      <c r="J26" s="22" t="n">
        <v>15</v>
      </c>
      <c r="K26" s="22">
        <f>IF(OR(H26="",J26="",J26=0),"",H26*J26)</f>
        <v/>
      </c>
      <c r="L26" s="5" t="inlineStr">
        <is>
          <t>Home Depot</t>
        </is>
      </c>
      <c r="M26" s="5" t="inlineStr">
        <is>
          <t>Generic UV-rated zip ties + line clamps pack</t>
        </is>
      </c>
      <c r="N26" s="5" t="inlineStr"/>
      <c r="O26" s="5" t="inlineStr">
        <is>
          <t>Confirmed</t>
        </is>
      </c>
      <c r="P26" s="5" t="inlineStr">
        <is>
          <t>medium</t>
        </is>
      </c>
      <c r="Q26" s="5" t="inlineStr">
        <is>
          <t>ДОДАНО (review) | ДОДАНО (review) | Ціна збір: 2026-05-28</t>
        </is>
      </c>
    </row>
    <row r="27">
      <c r="A27" s="5" t="n">
        <v>23</v>
      </c>
      <c r="B27" s="5" t="inlineStr">
        <is>
          <t>HVAC</t>
        </is>
      </c>
      <c r="C27" s="5" t="inlineStr">
        <is>
          <t>Condensate</t>
        </is>
      </c>
      <c r="D27" s="5" t="inlineStr">
        <is>
          <t>Condensate Termination Fittings</t>
        </is>
      </c>
      <c r="E27" s="5" t="inlineStr">
        <is>
          <t>Exterior drain end fittings + elbows</t>
        </is>
      </c>
      <c r="F27" s="5" t="inlineStr">
        <is>
          <t>set</t>
        </is>
      </c>
      <c r="G27" s="27" t="n">
        <v>1</v>
      </c>
      <c r="H27" s="27" t="n">
        <v>1</v>
      </c>
      <c r="I27" s="27" t="n">
        <v>2</v>
      </c>
      <c r="J27" s="22" t="n">
        <v>15</v>
      </c>
      <c r="K27" s="22">
        <f>IF(OR(H27="",J27="",J27=0),"",H27*J27)</f>
        <v/>
      </c>
      <c r="L27" s="5" t="inlineStr">
        <is>
          <t>Home Depot</t>
        </is>
      </c>
      <c r="M27" s="5" t="inlineStr">
        <is>
          <t>Generic condensate termination fittings</t>
        </is>
      </c>
      <c r="N27" s="5" t="inlineStr"/>
      <c r="O27" s="5" t="inlineStr">
        <is>
          <t>Confirmed</t>
        </is>
      </c>
      <c r="P27" s="5" t="inlineStr">
        <is>
          <t>medium</t>
        </is>
      </c>
      <c r="Q27" s="5" t="inlineStr">
        <is>
          <t>ДОДАНО (review) | ДОДАНО (review): exterior drain end | Ціна збір: 2026-05-28</t>
        </is>
      </c>
    </row>
    <row r="28">
      <c r="A28" s="5" t="n">
        <v>24</v>
      </c>
      <c r="B28" s="5" t="inlineStr">
        <is>
          <t>HVAC</t>
        </is>
      </c>
      <c r="C28" s="5" t="inlineStr">
        <is>
          <t>Cross-ref</t>
        </is>
      </c>
      <c r="D28" s="5" t="inlineStr">
        <is>
          <t>Mini-split Electrical Whip / Disconnect</t>
        </is>
      </c>
      <c r="E28" s="5" t="inlineStr">
        <is>
          <t>Cross-ref Phase 6 r19 — не дублювати</t>
        </is>
      </c>
      <c r="F28" s="5" t="inlineStr">
        <is>
          <t>pcs</t>
        </is>
      </c>
      <c r="G28" s="27" t="n">
        <v>0</v>
      </c>
      <c r="H28" s="27" t="n">
        <v>0</v>
      </c>
      <c r="I28" s="27" t="n">
        <v>0</v>
      </c>
      <c r="J28" s="22" t="n">
        <v>0</v>
      </c>
      <c r="K28" s="22">
        <f>IF(OR(H28="",J28="",J28=0),"",H28*J28)</f>
        <v/>
      </c>
      <c r="L28" s="5" t="inlineStr">
        <is>
          <t>—</t>
        </is>
      </c>
      <c r="M28" s="5" t="inlineStr">
        <is>
          <t>Cross-ref Phase 6 r19 — qty 0</t>
        </is>
      </c>
      <c r="N28" s="5" t="inlineStr"/>
      <c r="O28" s="5" t="inlineStr">
        <is>
          <t>Confirmed</t>
        </is>
      </c>
      <c r="P28" s="5" t="inlineStr">
        <is>
          <t>high</t>
        </is>
      </c>
      <c r="Q28" s="5" t="inlineStr">
        <is>
          <t>ДОДАНО (review): електричне з'єднання disconnect → condenser у Phase 6 | ДОДАНО (review): electrical whip/disconnect у Phase 6 — не дублювати | Ціна збір: 2026-05-28</t>
        </is>
      </c>
    </row>
    <row r="30">
      <c r="A30" s="8" t="n"/>
      <c r="B30" s="8" t="n"/>
      <c r="C30" s="9" t="inlineStr">
        <is>
          <t>ПІДСУМОК ФАЗИ</t>
        </is>
      </c>
      <c r="D30" s="8" t="n"/>
      <c r="E30" s="8" t="n"/>
      <c r="F30" s="8" t="n"/>
      <c r="G30" s="8" t="n"/>
      <c r="H30" s="8" t="n"/>
      <c r="I30" s="8" t="n"/>
      <c r="J30" s="8" t="n"/>
      <c r="K30" s="24">
        <f>SUM(K5:K28)</f>
        <v/>
      </c>
      <c r="L30" s="8" t="n"/>
      <c r="M30" s="8" t="n"/>
      <c r="N30" s="8" t="n"/>
      <c r="O30" s="8" t="n"/>
      <c r="P30" s="8" t="n"/>
      <c r="Q30" s="8" t="n"/>
    </row>
  </sheetData>
  <autoFilter ref="A4:Q28"/>
  <mergeCells count="2">
    <mergeCell ref="A2:Q2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8 — Insulation (§23)</t>
        </is>
      </c>
    </row>
    <row r="2" ht="18" customHeight="1">
      <c r="A2" s="3" t="inlineStr">
        <is>
          <t>Walls R-15/R-21, ceiling R-30, floor R-19, sound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Insulation</t>
        </is>
      </c>
      <c r="C5" s="5" t="inlineStr">
        <is>
          <t>Walls</t>
        </is>
      </c>
      <c r="D5" s="5" t="inlineStr">
        <is>
          <t>Exterior Wall Batt R-15</t>
        </is>
      </c>
      <c r="E5" s="5" t="inlineStr">
        <is>
          <t>Kraft-faced fiberglass 16" OC (2x4 cavities)</t>
        </is>
      </c>
      <c r="F5" s="5" t="inlineStr">
        <is>
          <t>sq ft</t>
        </is>
      </c>
      <c r="G5" s="27" t="n">
        <v>600</v>
      </c>
      <c r="H5" s="27" t="n">
        <v>625</v>
      </c>
      <c r="I5" s="27" t="n">
        <v>650</v>
      </c>
      <c r="J5" s="22" t="n">
        <v>1</v>
      </c>
      <c r="K5" s="22">
        <f>IF(OR(H5="",J5="",J5=0),"",H5*J5)</f>
        <v/>
      </c>
      <c r="L5" s="5" t="inlineStr">
        <is>
          <t>Home Depot</t>
        </is>
      </c>
      <c r="M5" s="5" t="inlineStr">
        <is>
          <t>Owens Corning R-15 Kraft-Faced 16" OC</t>
        </is>
      </c>
      <c r="N5" s="5" t="inlineStr">
        <is>
          <t>https://www.homedepot.com/p/Owens-Corning-R-15-Kraft-Faced-Fiberglass-Insulation-Batt-16-in-x-96-in-F95/313909974</t>
        </is>
      </c>
      <c r="O5" s="5" t="inlineStr">
        <is>
          <t>Confirmed</t>
        </is>
      </c>
      <c r="P5" s="5" t="inlineStr">
        <is>
          <t>high</t>
        </is>
      </c>
      <c r="Q5" s="5" t="inlineStr">
        <is>
          <t>R-15 для 2x4 walls. If 2x6 cavities — use R-21. Final R-values to be verified before purchase per CA Title 24 | $1.00/sf. R-15 kraft-faced range $0.69-1.10 | Ціна збір: 2026-05-28</t>
        </is>
      </c>
    </row>
    <row r="6">
      <c r="A6" s="5" t="n">
        <v>2</v>
      </c>
      <c r="B6" s="5" t="inlineStr">
        <is>
          <t>Insulation</t>
        </is>
      </c>
      <c r="C6" s="5" t="inlineStr">
        <is>
          <t>Ceiling</t>
        </is>
      </c>
      <c r="D6" s="5" t="inlineStr">
        <is>
          <t>Vaulted Ceiling Insulation R-30</t>
        </is>
      </c>
      <c r="E6" s="5" t="inlineStr">
        <is>
          <t>Unfaced fiberglass batt 16" OC</t>
        </is>
      </c>
      <c r="F6" s="5" t="inlineStr">
        <is>
          <t>sq ft</t>
        </is>
      </c>
      <c r="G6" s="27" t="n">
        <v>360</v>
      </c>
      <c r="H6" s="27" t="n">
        <v>380</v>
      </c>
      <c r="I6" s="27" t="n">
        <v>400</v>
      </c>
      <c r="J6" s="22" t="n">
        <v>1.61</v>
      </c>
      <c r="K6" s="22">
        <f>IF(OR(H6="",J6="",J6=0),"",H6*J6)</f>
        <v/>
      </c>
      <c r="L6" s="5" t="inlineStr">
        <is>
          <t>Home Depot</t>
        </is>
      </c>
      <c r="M6" s="5" t="inlineStr">
        <is>
          <t>Owens Corning R-30 Unfaced 16" OC</t>
        </is>
      </c>
      <c r="N6" s="5" t="inlineStr">
        <is>
          <t>https://www.homedepot.com/p/Owens-Corning-R-30-EcoTouch-PINK-Unfaced-Fiberglass-Insulation-Batt-16-in-x-48-in-BU74/300147480</t>
        </is>
      </c>
      <c r="O6" s="5" t="inlineStr">
        <is>
          <t>Confirmed</t>
        </is>
      </c>
      <c r="P6" s="5" t="inlineStr">
        <is>
          <t>high</t>
        </is>
      </c>
      <c r="Q6" s="5" t="inlineStr">
        <is>
          <t>R-30 allowance — final R-value to be verified per code assembly. Vented assembly з baffles (alternative: unvented spray foam r17) | $1.61/sf. R-30 same Phase 2 pricing reference | Ціна збір: 2026-05-28</t>
        </is>
      </c>
    </row>
    <row r="7">
      <c r="A7" s="5" t="n">
        <v>3</v>
      </c>
      <c r="B7" s="5" t="inlineStr">
        <is>
          <t>Insulation</t>
        </is>
      </c>
      <c r="C7" s="5" t="inlineStr">
        <is>
          <t>Floor</t>
        </is>
      </c>
      <c r="D7" s="5" t="inlineStr">
        <is>
          <t>Floor Insulation (cross-ref Phase 2)</t>
        </is>
      </c>
      <c r="E7" s="5" t="inlineStr">
        <is>
          <t>Already у Phase 2 row 12 — qty 0</t>
        </is>
      </c>
      <c r="F7" s="5" t="inlineStr">
        <is>
          <t>sq ft</t>
        </is>
      </c>
      <c r="G7" s="27" t="n">
        <v>0</v>
      </c>
      <c r="H7" s="27" t="n">
        <v>0</v>
      </c>
      <c r="I7" s="27" t="n">
        <v>0</v>
      </c>
      <c r="J7" s="22" t="n">
        <v>0</v>
      </c>
      <c r="K7" s="22">
        <f>IF(OR(H7="",J7="",J7=0),"",H7*J7)</f>
        <v/>
      </c>
      <c r="L7" s="5" t="inlineStr">
        <is>
          <t>—</t>
        </is>
      </c>
      <c r="M7" s="5" t="inlineStr">
        <is>
          <t>Cross-ref Phase 2 row 12 — qty 0</t>
        </is>
      </c>
      <c r="N7" s="5" t="inlineStr"/>
      <c r="O7" s="5" t="inlineStr">
        <is>
          <t>Confirmed</t>
        </is>
      </c>
      <c r="P7" s="5" t="inlineStr">
        <is>
          <t>high</t>
        </is>
      </c>
      <c r="Q7" s="5" t="inlineStr">
        <is>
          <t>DUPLICATE — vже в Phase 2 Raised Floor row 12 | DUPLICATE — already в Phase 2 Raised Floor | Ціна збір: 2026-05-28</t>
        </is>
      </c>
    </row>
    <row r="8">
      <c r="A8" s="5" t="n">
        <v>4</v>
      </c>
      <c r="B8" s="5" t="inlineStr">
        <is>
          <t>Insulation</t>
        </is>
      </c>
      <c r="C8" s="5" t="inlineStr">
        <is>
          <t>Sound</t>
        </is>
      </c>
      <c r="D8" s="5" t="inlineStr">
        <is>
          <t>Sound Insulation R-13</t>
        </is>
      </c>
      <c r="E8" s="5" t="inlineStr">
        <is>
          <t>Bedroom/bathroom walls fiberglass</t>
        </is>
      </c>
      <c r="F8" s="5" t="inlineStr">
        <is>
          <t>sq ft</t>
        </is>
      </c>
      <c r="G8" s="27" t="n">
        <v>250</v>
      </c>
      <c r="H8" s="27" t="n">
        <v>300</v>
      </c>
      <c r="I8" s="27" t="n">
        <v>350</v>
      </c>
      <c r="J8" s="22" t="n">
        <v>1.1</v>
      </c>
      <c r="K8" s="22">
        <f>IF(OR(H8="",J8="",J8=0),"",H8*J8)</f>
        <v/>
      </c>
      <c r="L8" s="5" t="inlineStr">
        <is>
          <t>Home Depot</t>
        </is>
      </c>
      <c r="M8" s="5" t="inlineStr">
        <is>
          <t>Owens Corning R-13 Kraft-Faced</t>
        </is>
      </c>
      <c r="N8" s="5" t="inlineStr">
        <is>
          <t>https://www.homedepot.com/p/Owens-Corning-R-13-Kraft-Faced-Fiberglass-Insulation-Batt-16-in-x-96-in-10-Bags-C86/202746452</t>
        </is>
      </c>
      <c r="O8" s="5" t="inlineStr">
        <is>
          <t>Confirmed</t>
        </is>
      </c>
      <c r="P8" s="5" t="inlineStr">
        <is>
          <t>medium</t>
        </is>
      </c>
      <c r="Q8" s="5" t="inlineStr">
        <is>
          <t>R-13 fiberglass (baseline). Premium alternative — mineral wool r15. Choose ONE not both | $1.10/sf fiberglass R-13. Alt mineral wool $1.85/sf r15 | Ціна збір: 2026-05-28</t>
        </is>
      </c>
    </row>
    <row r="9">
      <c r="A9" s="5" t="n">
        <v>5</v>
      </c>
      <c r="B9" s="5" t="inlineStr">
        <is>
          <t>Insulation</t>
        </is>
      </c>
      <c r="C9" s="5" t="inlineStr">
        <is>
          <t>Air Sealing</t>
        </is>
      </c>
      <c r="D9" s="5" t="inlineStr">
        <is>
          <t>Spray Foam</t>
        </is>
      </c>
      <c r="E9" s="5" t="inlineStr">
        <is>
          <t>Great Stuff window/door foam</t>
        </is>
      </c>
      <c r="F9" s="5" t="inlineStr">
        <is>
          <t>cans</t>
        </is>
      </c>
      <c r="G9" s="27" t="n">
        <v>4</v>
      </c>
      <c r="H9" s="27" t="n">
        <v>6</v>
      </c>
      <c r="I9" s="27" t="n">
        <v>8</v>
      </c>
      <c r="J9" s="22" t="n">
        <v>7</v>
      </c>
      <c r="K9" s="22">
        <f>IF(OR(H9="",J9="",J9=0),"",H9*J9)</f>
        <v/>
      </c>
      <c r="L9" s="5" t="inlineStr">
        <is>
          <t>Home Depot</t>
        </is>
      </c>
      <c r="M9" s="5" t="inlineStr">
        <is>
          <t>Great Stuff Pro window/door foam</t>
        </is>
      </c>
      <c r="N9" s="5" t="inlineStr"/>
      <c r="O9" s="5" t="inlineStr">
        <is>
          <t>Confirmed</t>
        </is>
      </c>
      <c r="P9" s="5" t="inlineStr">
        <is>
          <t>medium</t>
        </is>
      </c>
      <c r="Q9" s="5" t="inlineStr">
        <is>
          <t>Per can | Ціна збір: 2026-05-28</t>
        </is>
      </c>
    </row>
    <row r="10">
      <c r="A10" s="5" t="n">
        <v>6</v>
      </c>
      <c r="B10" s="5" t="inlineStr">
        <is>
          <t>Insulation</t>
        </is>
      </c>
      <c r="C10" s="5" t="inlineStr">
        <is>
          <t>Air Sealing</t>
        </is>
      </c>
      <c r="D10" s="5" t="inlineStr">
        <is>
          <t>Fire-blocking Foam / Caulk</t>
        </is>
      </c>
      <c r="E10" s="5" t="inlineStr">
        <is>
          <t>DAP fire-block</t>
        </is>
      </c>
      <c r="F10" s="5" t="inlineStr">
        <is>
          <t>tubes</t>
        </is>
      </c>
      <c r="G10" s="27" t="n">
        <v>4</v>
      </c>
      <c r="H10" s="27" t="n">
        <v>6</v>
      </c>
      <c r="I10" s="27" t="n">
        <v>8</v>
      </c>
      <c r="J10" s="22" t="n">
        <v>10</v>
      </c>
      <c r="K10" s="22">
        <f>IF(OR(H10="",J10="",J10=0),"",H10*J10)</f>
        <v/>
      </c>
      <c r="L10" s="5" t="inlineStr">
        <is>
          <t>Home Depot</t>
        </is>
      </c>
      <c r="M10" s="5" t="inlineStr">
        <is>
          <t>DAP Fire-block foam tube</t>
        </is>
      </c>
      <c r="N10" s="5" t="inlineStr"/>
      <c r="O10" s="5" t="inlineStr">
        <is>
          <t>Confirmed</t>
        </is>
      </c>
      <c r="P10" s="5" t="inlineStr">
        <is>
          <t>medium</t>
        </is>
      </c>
      <c r="Q10" s="5" t="inlineStr">
        <is>
          <t>Per tube | Ціна збір: 2026-05-28</t>
        </is>
      </c>
    </row>
    <row r="11">
      <c r="A11" s="5" t="n">
        <v>7</v>
      </c>
      <c r="B11" s="5" t="inlineStr">
        <is>
          <t>Insulation</t>
        </is>
      </c>
      <c r="C11" s="5" t="inlineStr">
        <is>
          <t>Air Sealing</t>
        </is>
      </c>
      <c r="D11" s="5" t="inlineStr">
        <is>
          <t>Air Sealing Tape</t>
        </is>
      </c>
      <c r="E11" s="5" t="inlineStr">
        <is>
          <t>3M All Weather / Tyvek</t>
        </is>
      </c>
      <c r="F11" s="5" t="inlineStr">
        <is>
          <t>rolls</t>
        </is>
      </c>
      <c r="G11" s="27" t="n">
        <v>2</v>
      </c>
      <c r="H11" s="27" t="n">
        <v>3</v>
      </c>
      <c r="I11" s="27" t="n">
        <v>4</v>
      </c>
      <c r="J11" s="22" t="n">
        <v>25</v>
      </c>
      <c r="K11" s="22">
        <f>IF(OR(H11="",J11="",J11=0),"",H11*J11)</f>
        <v/>
      </c>
      <c r="L11" s="5" t="inlineStr">
        <is>
          <t>Home Depot</t>
        </is>
      </c>
      <c r="M11" s="5" t="inlineStr">
        <is>
          <t>3M All Weather flashing tape</t>
        </is>
      </c>
      <c r="N11" s="5" t="inlineStr"/>
      <c r="O11" s="5" t="inlineStr">
        <is>
          <t>Confirmed</t>
        </is>
      </c>
      <c r="P11" s="5" t="inlineStr">
        <is>
          <t>medium</t>
        </is>
      </c>
      <c r="Q11" s="5" t="inlineStr">
        <is>
          <t>Per roll | Ціна збір: 2026-05-28</t>
        </is>
      </c>
    </row>
    <row r="12">
      <c r="A12" s="5" t="n">
        <v>8</v>
      </c>
      <c r="B12" s="5" t="inlineStr">
        <is>
          <t>Insulation</t>
        </is>
      </c>
      <c r="C12" s="5" t="inlineStr">
        <is>
          <t>Ventilation</t>
        </is>
      </c>
      <c r="D12" s="5" t="inlineStr">
        <is>
          <t>Baffles</t>
        </is>
      </c>
      <c r="E12" s="5" t="inlineStr">
        <is>
          <t>Rafter air vents для VENTED vaulted ceiling</t>
        </is>
      </c>
      <c r="F12" s="5" t="inlineStr">
        <is>
          <t>pcs</t>
        </is>
      </c>
      <c r="G12" s="27" t="n">
        <v>8</v>
      </c>
      <c r="H12" s="27" t="n">
        <v>14</v>
      </c>
      <c r="I12" s="27" t="n">
        <v>20</v>
      </c>
      <c r="J12" s="22" t="n">
        <v>1.5</v>
      </c>
      <c r="K12" s="22">
        <f>IF(OR(H12="",J12="",J12=0),"",H12*J12)</f>
        <v/>
      </c>
      <c r="L12" s="5" t="inlineStr">
        <is>
          <t>Home Depot</t>
        </is>
      </c>
      <c r="M12" s="5" t="inlineStr">
        <is>
          <t>ADO Products attic rafter vent baffle</t>
        </is>
      </c>
      <c r="N12" s="5" t="inlineStr"/>
      <c r="O12" s="5" t="inlineStr">
        <is>
          <t>TBD</t>
        </is>
      </c>
      <c r="P12" s="5" t="inlineStr">
        <is>
          <t>medium</t>
        </is>
      </c>
      <c r="Q12" s="5" t="inlineStr">
        <is>
          <t>Mid підвищено до 14 (every rafter bay). Choose VENTED batt+baffles OR UNVENTED spray foam r17 — not both | Per pc | Ціна збір: 2026-05-28</t>
        </is>
      </c>
    </row>
    <row r="13">
      <c r="A13" s="5" t="n">
        <v>9</v>
      </c>
      <c r="B13" s="5" t="inlineStr">
        <is>
          <t>Insulation</t>
        </is>
      </c>
      <c r="C13" s="5" t="inlineStr">
        <is>
          <t>Supports</t>
        </is>
      </c>
      <c r="D13" s="5" t="inlineStr">
        <is>
          <t>Insulation Supports / Wire Supports</t>
        </is>
      </c>
      <c r="E13" s="5" t="inlineStr">
        <is>
          <t>Hold wall+ceiling batt в place</t>
        </is>
      </c>
      <c r="F13" s="5" t="inlineStr">
        <is>
          <t>pack</t>
        </is>
      </c>
      <c r="G13" s="27" t="n">
        <v>1</v>
      </c>
      <c r="H13" s="27" t="n">
        <v>2</v>
      </c>
      <c r="I13" s="27" t="n">
        <v>3</v>
      </c>
      <c r="J13" s="22" t="n">
        <v>9</v>
      </c>
      <c r="K13" s="22">
        <f>IF(OR(H13="",J13="",J13=0),"",H13*J13)</f>
        <v/>
      </c>
      <c r="L13" s="5" t="inlineStr">
        <is>
          <t>Home Depot</t>
        </is>
      </c>
      <c r="M13" s="5" t="inlineStr">
        <is>
          <t>Owens Corning insulation wire supports</t>
        </is>
      </c>
      <c r="N13" s="5" t="inlineStr"/>
      <c r="O13" s="5" t="inlineStr">
        <is>
          <t>Confirmed</t>
        </is>
      </c>
      <c r="P13" s="5" t="inlineStr">
        <is>
          <t>medium</t>
        </is>
      </c>
      <c r="Q13" s="5" t="inlineStr">
        <is>
          <t>For wall/ceiling batt | ДОДАНО: per pack | Ціна збір: 2026-05-28</t>
        </is>
      </c>
    </row>
    <row r="14">
      <c r="A14" s="5" t="n">
        <v>10</v>
      </c>
      <c r="B14" s="5" t="inlineStr">
        <is>
          <t>Insulation</t>
        </is>
      </c>
      <c r="C14" s="5" t="inlineStr">
        <is>
          <t>Vapor</t>
        </is>
      </c>
      <c r="D14" s="5" t="inlineStr">
        <is>
          <t>Vapor Barrier Poly (Optional)</t>
        </is>
      </c>
      <c r="E14" s="5" t="inlineStr">
        <is>
          <t>Allowance — kraft-faced batt usually enough</t>
        </is>
      </c>
      <c r="F14" s="5" t="inlineStr">
        <is>
          <t>set</t>
        </is>
      </c>
      <c r="G14" s="27" t="n">
        <v>0</v>
      </c>
      <c r="H14" s="27" t="n">
        <v>1</v>
      </c>
      <c r="I14" s="27" t="n">
        <v>1</v>
      </c>
      <c r="J14" s="22" t="n">
        <v>40</v>
      </c>
      <c r="K14" s="22">
        <f>IF(OR(H14="",J14="",J14=0),"",H14*J14)</f>
        <v/>
      </c>
      <c r="L14" s="5" t="inlineStr">
        <is>
          <t>Home Depot</t>
        </is>
      </c>
      <c r="M14" s="5" t="inlineStr">
        <is>
          <t>Stego/generic 6-mil poly allowance</t>
        </is>
      </c>
      <c r="N14" s="5" t="inlineStr"/>
      <c r="O14" s="5" t="inlineStr">
        <is>
          <t>Optional</t>
        </is>
      </c>
      <c r="P14" s="5" t="inlineStr">
        <is>
          <t>medium</t>
        </is>
      </c>
      <c r="Q14" s="5" t="inlineStr">
        <is>
          <t>Verify if required — kraft-facing usually serves as vapor retarder | ДОДАНО: kraft-faced usually sufficient | Ціна збір: 2026-05-28</t>
        </is>
      </c>
    </row>
    <row r="15">
      <c r="A15" s="5" t="n">
        <v>11</v>
      </c>
      <c r="B15" s="5" t="inlineStr">
        <is>
          <t>Insulation</t>
        </is>
      </c>
      <c r="C15" s="5" t="inlineStr">
        <is>
          <t>Sound</t>
        </is>
      </c>
      <c r="D15" s="5" t="inlineStr">
        <is>
          <t>Mineral Wool R-13 Alternative (Optional)</t>
        </is>
      </c>
      <c r="E15" s="5" t="inlineStr">
        <is>
          <t>Roxul Safe'n'Sound — premium sound + fire</t>
        </is>
      </c>
      <c r="F15" s="5" t="inlineStr">
        <is>
          <t>sq ft</t>
        </is>
      </c>
      <c r="G15" s="27" t="n">
        <v>0</v>
      </c>
      <c r="H15" s="27" t="n">
        <v>0</v>
      </c>
      <c r="I15" s="27" t="n">
        <v>350</v>
      </c>
      <c r="J15" s="22" t="n">
        <v>1.85</v>
      </c>
      <c r="K15" s="22">
        <f>IF(OR(H15="",J15="",J15=0),"",H15*J15)</f>
        <v/>
      </c>
      <c r="L15" s="5" t="inlineStr">
        <is>
          <t>Home Depot</t>
        </is>
      </c>
      <c r="M15" s="5" t="inlineStr">
        <is>
          <t>ROCKWOOL Safe'n'Sound R-13</t>
        </is>
      </c>
      <c r="N15" s="5" t="inlineStr">
        <is>
          <t>https://www.homedepot.com/p/ROCKWOOL-Safe-n-Sound-3-in-x-15-1-4-in-x-47-in-Soundproofing-and-Fire-Resistant-Stone-Wool-Insulation-Batt-59-7-sq-ft-RXSS31525/202531875</t>
        </is>
      </c>
      <c r="O15" s="5" t="inlineStr">
        <is>
          <t>Optional</t>
        </is>
      </c>
      <c r="P15" s="5" t="inlineStr">
        <is>
          <t>high</t>
        </is>
      </c>
      <c r="Q15" s="5" t="inlineStr">
        <is>
          <t>Premium alt для r8. Choose ONE not both | $1.85/sf. Premium mineral wool alternative to r8. Choose ONE not both | Ціна збір: 2026-05-28</t>
        </is>
      </c>
    </row>
    <row r="16">
      <c r="A16" s="5" t="n">
        <v>12</v>
      </c>
      <c r="B16" s="5" t="inlineStr">
        <is>
          <t>Insulation</t>
        </is>
      </c>
      <c r="C16" s="5" t="inlineStr">
        <is>
          <t>Supports</t>
        </is>
      </c>
      <c r="D16" s="5" t="inlineStr">
        <is>
          <t>Cap Strips / Batt Straps</t>
        </is>
      </c>
      <c r="E16" s="5" t="inlineStr">
        <is>
          <t>Bottom plate compression</t>
        </is>
      </c>
      <c r="F16" s="5" t="inlineStr">
        <is>
          <t>pack</t>
        </is>
      </c>
      <c r="G16" s="27" t="n">
        <v>0</v>
      </c>
      <c r="H16" s="27" t="n">
        <v>1</v>
      </c>
      <c r="I16" s="27" t="n">
        <v>2</v>
      </c>
      <c r="J16" s="22" t="n">
        <v>10</v>
      </c>
      <c r="K16" s="22">
        <f>IF(OR(H16="",J16="",J16=0),"",H16*J16)</f>
        <v/>
      </c>
      <c r="L16" s="5" t="inlineStr">
        <is>
          <t>Home Depot</t>
        </is>
      </c>
      <c r="M16" s="5" t="inlineStr">
        <is>
          <t>Generic cap strips / batt straps pack</t>
        </is>
      </c>
      <c r="N16" s="5" t="inlineStr"/>
      <c r="O16" s="5" t="inlineStr">
        <is>
          <t>TBD</t>
        </is>
      </c>
      <c r="P16" s="5" t="inlineStr">
        <is>
          <t>medium</t>
        </is>
      </c>
      <c r="Q16" s="5" t="inlineStr">
        <is>
          <t>ДОДАНО | Ціна збір: 2026-05-28</t>
        </is>
      </c>
    </row>
    <row r="17">
      <c r="A17" s="5" t="n">
        <v>13</v>
      </c>
      <c r="B17" s="5" t="inlineStr">
        <is>
          <t>Insulation</t>
        </is>
      </c>
      <c r="C17" s="5" t="inlineStr">
        <is>
          <t>Air Sealing</t>
        </is>
      </c>
      <c r="D17" s="5" t="inlineStr">
        <is>
          <t>Closed-cell Spray Foam Kit (Optional)</t>
        </is>
      </c>
      <c r="E17" s="5" t="inlineStr">
        <is>
          <t>Для UNVENTED vaulted ceiling assembly</t>
        </is>
      </c>
      <c r="F17" s="5" t="inlineStr">
        <is>
          <t>kit</t>
        </is>
      </c>
      <c r="G17" s="27" t="n">
        <v>0</v>
      </c>
      <c r="H17" s="27" t="n">
        <v>0</v>
      </c>
      <c r="I17" s="27" t="n">
        <v>1</v>
      </c>
      <c r="J17" s="22" t="n">
        <v>300</v>
      </c>
      <c r="K17" s="22">
        <f>IF(OR(H17="",J17="",J17=0),"",H17*J17)</f>
        <v/>
      </c>
      <c r="L17" s="5" t="inlineStr">
        <is>
          <t>Home Depot / specialty</t>
        </is>
      </c>
      <c r="M17" s="5" t="inlineStr">
        <is>
          <t>Tiger Foam closed-cell kit (Optional)</t>
        </is>
      </c>
      <c r="N17" s="5" t="inlineStr"/>
      <c r="O17" s="5" t="inlineStr">
        <is>
          <t>Optional</t>
        </is>
      </c>
      <c r="P17" s="5" t="inlineStr">
        <is>
          <t>low</t>
        </is>
      </c>
      <c r="Q17" s="5" t="inlineStr">
        <is>
          <t>Alternative до vented batt+baffles. Choose ONE strategy | ДОДАНО: closed-cell spray foam allowance | Ціна збір: 2026-05-28</t>
        </is>
      </c>
    </row>
    <row r="18">
      <c r="A18" s="5" t="n">
        <v>14</v>
      </c>
      <c r="B18" s="5" t="inlineStr">
        <is>
          <t>Insulation</t>
        </is>
      </c>
      <c r="C18" s="5" t="inlineStr">
        <is>
          <t>Air Sealing</t>
        </is>
      </c>
      <c r="D18" s="5" t="inlineStr">
        <is>
          <t>General Air-sealing Caulk</t>
        </is>
      </c>
      <c r="E18" s="5" t="inlineStr">
        <is>
          <t>Top/bottom plates, corners, small gaps</t>
        </is>
      </c>
      <c r="F18" s="5" t="inlineStr">
        <is>
          <t>tubes</t>
        </is>
      </c>
      <c r="G18" s="27" t="n">
        <v>3</v>
      </c>
      <c r="H18" s="27" t="n">
        <v>4</v>
      </c>
      <c r="I18" s="27" t="n">
        <v>6</v>
      </c>
      <c r="J18" s="22" t="n">
        <v>5</v>
      </c>
      <c r="K18" s="22">
        <f>IF(OR(H18="",J18="",J18=0),"",H18*J18)</f>
        <v/>
      </c>
      <c r="L18" s="5" t="inlineStr">
        <is>
          <t>Home Depot</t>
        </is>
      </c>
      <c r="M18" s="5" t="inlineStr">
        <is>
          <t>DAP Alex Plus general caulk</t>
        </is>
      </c>
      <c r="N18" s="5" t="inlineStr"/>
      <c r="O18" s="5" t="inlineStr">
        <is>
          <t>Confirmed</t>
        </is>
      </c>
      <c r="P18" s="5" t="inlineStr">
        <is>
          <t>medium</t>
        </is>
      </c>
      <c r="Q18" s="5" t="inlineStr">
        <is>
          <t>ДОДАНО (review): air sealing perimeters | ДОДАНО (review): top/bottom plates, corners | Ціна збір: 2026-05-28</t>
        </is>
      </c>
    </row>
    <row r="19">
      <c r="A19" s="5" t="n">
        <v>15</v>
      </c>
      <c r="B19" s="5" t="inlineStr">
        <is>
          <t>Insulation</t>
        </is>
      </c>
      <c r="C19" s="5" t="inlineStr">
        <is>
          <t>Supports</t>
        </is>
      </c>
      <c r="D19" s="5" t="inlineStr">
        <is>
          <t>Staples / Insulation Fastening Supplies</t>
        </is>
      </c>
      <c r="E19" s="5" t="inlineStr">
        <is>
          <t>Для kraft-faced batt stapling</t>
        </is>
      </c>
      <c r="F19" s="5" t="inlineStr">
        <is>
          <t>set</t>
        </is>
      </c>
      <c r="G19" s="27" t="n">
        <v>1</v>
      </c>
      <c r="H19" s="27" t="n">
        <v>1</v>
      </c>
      <c r="I19" s="27" t="n">
        <v>1</v>
      </c>
      <c r="J19" s="22" t="n">
        <v>20</v>
      </c>
      <c r="K19" s="22">
        <f>IF(OR(H19="",J19="",J19=0),"",H19*J19)</f>
        <v/>
      </c>
      <c r="L19" s="5" t="inlineStr">
        <is>
          <t>Home Depot</t>
        </is>
      </c>
      <c r="M19" s="5" t="inlineStr">
        <is>
          <t>Generic T50 staples + insulation fasteners set</t>
        </is>
      </c>
      <c r="N19" s="5" t="inlineStr"/>
      <c r="O19" s="5" t="inlineStr">
        <is>
          <t>Confirmed</t>
        </is>
      </c>
      <c r="P19" s="5" t="inlineStr">
        <is>
          <t>medium</t>
        </is>
      </c>
      <c r="Q19" s="5" t="inlineStr">
        <is>
          <t>ДОДАНО (review): T50 staples + крепежі | ДОДАНО (review): kraft-faced batt stapling | Ціна збір: 2026-05-28</t>
        </is>
      </c>
    </row>
    <row r="20">
      <c r="A20" s="5" t="n">
        <v>16</v>
      </c>
      <c r="B20" s="5" t="inlineStr">
        <is>
          <t>Insulation</t>
        </is>
      </c>
      <c r="C20" s="5" t="inlineStr">
        <is>
          <t>Safety</t>
        </is>
      </c>
      <c r="D20" s="5" t="inlineStr">
        <is>
          <t>Protective Gear allowance</t>
        </is>
      </c>
      <c r="E20" s="5" t="inlineStr">
        <is>
          <t>Fiberglass gloves + mask + goggles</t>
        </is>
      </c>
      <c r="F20" s="5" t="inlineStr">
        <is>
          <t>set</t>
        </is>
      </c>
      <c r="G20" s="27" t="n">
        <v>1</v>
      </c>
      <c r="H20" s="27" t="n">
        <v>1</v>
      </c>
      <c r="I20" s="27" t="n">
        <v>1</v>
      </c>
      <c r="J20" s="22" t="n">
        <v>25</v>
      </c>
      <c r="K20" s="22">
        <f>IF(OR(H20="",J20="",J20=0),"",H20*J20)</f>
        <v/>
      </c>
      <c r="L20" s="5" t="inlineStr">
        <is>
          <t>Home Depot</t>
        </is>
      </c>
      <c r="M20" s="5" t="inlineStr">
        <is>
          <t>Generic PPE pack (gloves + mask + goggles)</t>
        </is>
      </c>
      <c r="N20" s="5" t="inlineStr"/>
      <c r="O20" s="5" t="inlineStr">
        <is>
          <t>Confirmed</t>
        </is>
      </c>
      <c r="P20" s="5" t="inlineStr">
        <is>
          <t>medium</t>
        </is>
      </c>
      <c r="Q20" s="5" t="inlineStr">
        <is>
          <t>ДОДАНО (review): PPE для fiberglass installation | ДОДАНО (review): fiberglass safety | Ціна збір: 2026-05-28</t>
        </is>
      </c>
    </row>
    <row r="22">
      <c r="A22" s="8" t="n"/>
      <c r="B22" s="8" t="n"/>
      <c r="C22" s="9" t="inlineStr">
        <is>
          <t>ПІДСУМОК ФАЗИ</t>
        </is>
      </c>
      <c r="D22" s="8" t="n"/>
      <c r="E22" s="8" t="n"/>
      <c r="F22" s="8" t="n"/>
      <c r="G22" s="8" t="n"/>
      <c r="H22" s="8" t="n"/>
      <c r="I22" s="8" t="n"/>
      <c r="J22" s="8" t="n"/>
      <c r="K22" s="24">
        <f>SUM(K5:K20)</f>
        <v/>
      </c>
      <c r="L22" s="8" t="n"/>
      <c r="M22" s="8" t="n"/>
      <c r="N22" s="8" t="n"/>
      <c r="O22" s="8" t="n"/>
      <c r="P22" s="8" t="n"/>
      <c r="Q22" s="8" t="n"/>
    </row>
  </sheetData>
  <autoFilter ref="A4:Q20"/>
  <mergeCells count="2">
    <mergeCell ref="A2:Q2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9 — Drywall (§24)</t>
        </is>
      </c>
    </row>
    <row r="2" ht="18" customHeight="1">
      <c r="A2" s="3" t="inlineStr">
        <is>
          <t>60-75 sheets regular + 10-15 moisture-resistant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Drywall</t>
        </is>
      </c>
      <c r="C5" s="5" t="inlineStr">
        <is>
          <t>Board</t>
        </is>
      </c>
      <c r="D5" s="5" t="inlineStr">
        <is>
          <t>Regular Drywall 1/2"</t>
        </is>
      </c>
      <c r="E5" s="5" t="inlineStr">
        <is>
          <t>4x8 sheets — walls (baseline)</t>
        </is>
      </c>
      <c r="F5" s="5" t="inlineStr">
        <is>
          <t>sheets</t>
        </is>
      </c>
      <c r="G5" s="27" t="n">
        <v>60</v>
      </c>
      <c r="H5" s="27" t="n">
        <v>67</v>
      </c>
      <c r="I5" s="27" t="n">
        <v>75</v>
      </c>
      <c r="J5" s="22" t="n">
        <v>13</v>
      </c>
      <c r="K5" s="22">
        <f>IF(OR(H5="",J5="",J5=0),"",H5*J5)</f>
        <v/>
      </c>
      <c r="L5" s="5" t="inlineStr">
        <is>
          <t>Home Depot</t>
        </is>
      </c>
      <c r="M5" s="5" t="inlineStr">
        <is>
          <t>USG UltraLight 1/2" 4x8 sheet</t>
        </is>
      </c>
      <c r="N5" s="5" t="inlineStr">
        <is>
          <t>https://www.homedepot.com/p/USG-Sheetrock-Brand-1-2-in-x-4-ft-x-8-ft-UltraLight-Drywall-14113411708/202530243</t>
        </is>
      </c>
      <c r="O5" s="5" t="inlineStr">
        <is>
          <t>Confirmed</t>
        </is>
      </c>
      <c r="P5" s="5" t="inlineStr">
        <is>
          <t>high</t>
        </is>
      </c>
      <c r="Q5" s="5" t="inlineStr">
        <is>
          <t>1/2" walls + standard ceiling. PVA primer counted ТУТ — не дублювати в Paint phase | $11-15/sheet. ToughRock alt cheaper | Ціна збір: 2026-05-28</t>
        </is>
      </c>
    </row>
    <row r="6">
      <c r="A6" s="5" t="n">
        <v>2</v>
      </c>
      <c r="B6" s="5" t="inlineStr">
        <is>
          <t>Drywall</t>
        </is>
      </c>
      <c r="C6" s="5" t="inlineStr">
        <is>
          <t>Board</t>
        </is>
      </c>
      <c r="D6" s="5" t="inlineStr">
        <is>
          <t>Moisture-resistant Drywall</t>
        </is>
      </c>
      <c r="E6" s="5" t="inlineStr">
        <is>
          <t>Greenboard 1/2" — bathroom, laundry, utility</t>
        </is>
      </c>
      <c r="F6" s="5" t="inlineStr">
        <is>
          <t>sheets</t>
        </is>
      </c>
      <c r="G6" s="27" t="n">
        <v>10</v>
      </c>
      <c r="H6" s="27" t="n">
        <v>12</v>
      </c>
      <c r="I6" s="27" t="n">
        <v>15</v>
      </c>
      <c r="J6" s="22" t="n">
        <v>20</v>
      </c>
      <c r="K6" s="22">
        <f>IF(OR(H6="",J6="",J6=0),"",H6*J6)</f>
        <v/>
      </c>
      <c r="L6" s="5" t="inlineStr">
        <is>
          <t>Home Depot</t>
        </is>
      </c>
      <c r="M6" s="5" t="inlineStr">
        <is>
          <t>USG Mold Tough 1/2" 4x8 greenboard</t>
        </is>
      </c>
      <c r="N6" s="5" t="inlineStr">
        <is>
          <t>https://www.homedepot.com/p/USG-Sheetrock-Brand-1-2-in-x-4-ft-x-8-ft-UltraLight-Mold-Tough-Drywall-14302111708/203768542</t>
        </is>
      </c>
      <c r="O6" s="5" t="inlineStr">
        <is>
          <t>Confirmed</t>
        </is>
      </c>
      <c r="P6" s="5" t="inlineStr">
        <is>
          <t>high</t>
        </is>
      </c>
      <c r="Q6" s="5" t="inlineStr">
        <is>
          <t>$22.98 single / $19.53 bulk 34+. Mid $20 | Ціна збір: 2026-05-28</t>
        </is>
      </c>
    </row>
    <row r="7">
      <c r="A7" s="5" t="n">
        <v>3</v>
      </c>
      <c r="B7" s="5" t="inlineStr">
        <is>
          <t>Drywall</t>
        </is>
      </c>
      <c r="C7" s="5" t="inlineStr">
        <is>
          <t>Board</t>
        </is>
      </c>
      <c r="D7" s="5" t="inlineStr">
        <is>
          <t>Cement Board / Backer Board</t>
        </is>
      </c>
      <c r="E7" s="5" t="inlineStr">
        <is>
          <t>HardieBacker 1/2" — shower wet zone</t>
        </is>
      </c>
      <c r="F7" s="5" t="inlineStr">
        <is>
          <t>sheets</t>
        </is>
      </c>
      <c r="G7" s="27" t="n">
        <v>3</v>
      </c>
      <c r="H7" s="27" t="n">
        <v>4</v>
      </c>
      <c r="I7" s="27" t="n">
        <v>5</v>
      </c>
      <c r="J7" s="22" t="n">
        <v>20</v>
      </c>
      <c r="K7" s="22">
        <f>IF(OR(H7="",J7="",J7=0),"",H7*J7)</f>
        <v/>
      </c>
      <c r="L7" s="5" t="inlineStr">
        <is>
          <t>Home Depot</t>
        </is>
      </c>
      <c r="M7" s="5" t="inlineStr">
        <is>
          <t>HardieBacker 1/2" 3x5 cement board</t>
        </is>
      </c>
      <c r="N7" s="5" t="inlineStr">
        <is>
          <t>https://www.homedepot.com/p/James-Hardie-HardieBacker-1-2-in-x-3-ft-x-5-ft-Cement-Backerboard-220023/100170507</t>
        </is>
      </c>
      <c r="O7" s="5" t="inlineStr">
        <is>
          <t>Confirmed</t>
        </is>
      </c>
      <c r="P7" s="5" t="inlineStr">
        <is>
          <t>medium</t>
        </is>
      </c>
      <c r="Q7" s="5" t="inlineStr">
        <is>
          <t>Pair з RedGard r16. Counted тут — не дублювати в Bathroom phase | Range $13-25 depending on size 3x5 vs 4x8 | Ціна збір: 2026-05-28</t>
        </is>
      </c>
    </row>
    <row r="8">
      <c r="A8" s="5" t="n">
        <v>4</v>
      </c>
      <c r="B8" s="5" t="inlineStr">
        <is>
          <t>Drywall</t>
        </is>
      </c>
      <c r="C8" s="5" t="inlineStr">
        <is>
          <t>Fasteners</t>
        </is>
      </c>
      <c r="D8" s="5" t="inlineStr">
        <is>
          <t>Drywall Screws</t>
        </is>
      </c>
      <c r="E8" s="5" t="inlineStr">
        <is>
          <t>1¼" coarse — підвищено Mid</t>
        </is>
      </c>
      <c r="F8" s="5" t="inlineStr">
        <is>
          <t>lb</t>
        </is>
      </c>
      <c r="G8" s="27" t="n">
        <v>8</v>
      </c>
      <c r="H8" s="27" t="n">
        <v>10</v>
      </c>
      <c r="I8" s="27" t="n">
        <v>14</v>
      </c>
      <c r="J8" s="22" t="n">
        <v>7</v>
      </c>
      <c r="K8" s="22">
        <f>IF(OR(H8="",J8="",J8=0),"",H8*J8)</f>
        <v/>
      </c>
      <c r="L8" s="5" t="inlineStr">
        <is>
          <t>Home Depot</t>
        </is>
      </c>
      <c r="M8" s="5" t="inlineStr">
        <is>
          <t>Generic 1¼ coarse drywall screws</t>
        </is>
      </c>
      <c r="N8" s="5" t="inlineStr"/>
      <c r="O8" s="5" t="inlineStr">
        <is>
          <t>Confirmed</t>
        </is>
      </c>
      <c r="P8" s="5" t="inlineStr">
        <is>
          <t>medium</t>
        </is>
      </c>
      <c r="Q8" s="5" t="inlineStr">
        <is>
          <t>Mid підвищено до 10 lb (review): достатньо для 67 sheets | Per lb. 5 lb box ~$35 | Ціна збір: 2026-05-28</t>
        </is>
      </c>
    </row>
    <row r="9">
      <c r="A9" s="5" t="n">
        <v>5</v>
      </c>
      <c r="B9" s="5" t="inlineStr">
        <is>
          <t>Drywall</t>
        </is>
      </c>
      <c r="C9" s="5" t="inlineStr">
        <is>
          <t>Finishing</t>
        </is>
      </c>
      <c r="D9" s="5" t="inlineStr">
        <is>
          <t>Joint Compound (All-Purpose)</t>
        </is>
      </c>
      <c r="E9" s="5" t="inlineStr">
        <is>
          <t>5 gal ready-mix — підвищено Mid</t>
        </is>
      </c>
      <c r="F9" s="5" t="inlineStr">
        <is>
          <t>buckets</t>
        </is>
      </c>
      <c r="G9" s="27" t="n">
        <v>4</v>
      </c>
      <c r="H9" s="27" t="n">
        <v>6</v>
      </c>
      <c r="I9" s="27" t="n">
        <v>8</v>
      </c>
      <c r="J9" s="22" t="n">
        <v>17</v>
      </c>
      <c r="K9" s="22">
        <f>IF(OR(H9="",J9="",J9=0),"",H9*J9)</f>
        <v/>
      </c>
      <c r="L9" s="5" t="inlineStr">
        <is>
          <t>Home Depot</t>
        </is>
      </c>
      <c r="M9" s="5" t="inlineStr">
        <is>
          <t>USG Sheetrock All-Purpose 5 gal</t>
        </is>
      </c>
      <c r="N9" s="5" t="inlineStr"/>
      <c r="O9" s="5" t="inlineStr">
        <is>
          <t>Confirmed</t>
        </is>
      </c>
      <c r="P9" s="5" t="inlineStr">
        <is>
          <t>medium</t>
        </is>
      </c>
      <c r="Q9" s="5" t="inlineStr">
        <is>
          <t>Mid підвищено до 6 buckets (review): для vaulted ceiling + corners | Per bucket | Ціна збір: 2026-05-28</t>
        </is>
      </c>
    </row>
    <row r="10">
      <c r="A10" s="5" t="n">
        <v>6</v>
      </c>
      <c r="B10" s="5" t="inlineStr">
        <is>
          <t>Drywall</t>
        </is>
      </c>
      <c r="C10" s="5" t="inlineStr">
        <is>
          <t>Finishing</t>
        </is>
      </c>
      <c r="D10" s="5" t="inlineStr">
        <is>
          <t>Drywall Tape (Paper)</t>
        </is>
      </c>
      <c r="E10" s="5" t="inlineStr">
        <is>
          <t>250 ft roll</t>
        </is>
      </c>
      <c r="F10" s="5" t="inlineStr">
        <is>
          <t>rolls</t>
        </is>
      </c>
      <c r="G10" s="27" t="n">
        <v>4</v>
      </c>
      <c r="H10" s="27" t="n">
        <v>6</v>
      </c>
      <c r="I10" s="27" t="n">
        <v>8</v>
      </c>
      <c r="J10" s="22" t="n">
        <v>5</v>
      </c>
      <c r="K10" s="22">
        <f>IF(OR(H10="",J10="",J10=0),"",H10*J10)</f>
        <v/>
      </c>
      <c r="L10" s="5" t="inlineStr">
        <is>
          <t>Home Depot</t>
        </is>
      </c>
      <c r="M10" s="5" t="inlineStr">
        <is>
          <t>Generic paper joint tape 250 ft</t>
        </is>
      </c>
      <c r="N10" s="5" t="inlineStr"/>
      <c r="O10" s="5" t="inlineStr">
        <is>
          <t>Confirmed</t>
        </is>
      </c>
      <c r="P10" s="5" t="inlineStr">
        <is>
          <t>medium</t>
        </is>
      </c>
      <c r="Q10" s="5" t="inlineStr">
        <is>
          <t>Paper для joints; mesh окремо r15 | Per roll | Ціна збір: 2026-05-28</t>
        </is>
      </c>
    </row>
    <row r="11">
      <c r="A11" s="5" t="n">
        <v>7</v>
      </c>
      <c r="B11" s="5" t="inlineStr">
        <is>
          <t>Drywall</t>
        </is>
      </c>
      <c r="C11" s="5" t="inlineStr">
        <is>
          <t>Finishing</t>
        </is>
      </c>
      <c r="D11" s="5" t="inlineStr">
        <is>
          <t>Corner Bead</t>
        </is>
      </c>
      <c r="E11" s="5" t="inlineStr">
        <is>
          <t>Metal або paper-faced</t>
        </is>
      </c>
      <c r="F11" s="5" t="inlineStr">
        <is>
          <t>linear ft</t>
        </is>
      </c>
      <c r="G11" s="27" t="n">
        <v>100</v>
      </c>
      <c r="H11" s="27" t="n">
        <v>140</v>
      </c>
      <c r="I11" s="27" t="n">
        <v>180</v>
      </c>
      <c r="J11" s="22" t="n">
        <v>0.65</v>
      </c>
      <c r="K11" s="22">
        <f>IF(OR(H11="",J11="",J11=0),"",H11*J11)</f>
        <v/>
      </c>
      <c r="L11" s="5" t="inlineStr">
        <is>
          <t>Home Depot</t>
        </is>
      </c>
      <c r="M11" s="5" t="inlineStr">
        <is>
          <t>Generic metal corner bead 8 ft</t>
        </is>
      </c>
      <c r="N11" s="5" t="inlineStr"/>
      <c r="O11" s="5" t="inlineStr">
        <is>
          <t>Confirmed</t>
        </is>
      </c>
      <c r="P11" s="5" t="inlineStr">
        <is>
          <t>medium</t>
        </is>
      </c>
      <c r="Q11" s="5" t="inlineStr">
        <is>
          <t>Per LF | Ціна збір: 2026-05-28</t>
        </is>
      </c>
    </row>
    <row r="12">
      <c r="A12" s="5" t="n">
        <v>8</v>
      </c>
      <c r="B12" s="5" t="inlineStr">
        <is>
          <t>Drywall</t>
        </is>
      </c>
      <c r="C12" s="5" t="inlineStr">
        <is>
          <t>Primer</t>
        </is>
      </c>
      <c r="D12" s="5" t="inlineStr">
        <is>
          <t>Drywall Primer (PVA)</t>
        </is>
      </c>
      <c r="E12" s="5" t="inlineStr">
        <is>
          <t>5 gal — counted тут, не дублювати в Paint phase</t>
        </is>
      </c>
      <c r="F12" s="5" t="inlineStr">
        <is>
          <t>gal</t>
        </is>
      </c>
      <c r="G12" s="27" t="n">
        <v>2</v>
      </c>
      <c r="H12" s="27" t="n">
        <v>3</v>
      </c>
      <c r="I12" s="27" t="n">
        <v>4</v>
      </c>
      <c r="J12" s="22" t="n">
        <v>25</v>
      </c>
      <c r="K12" s="22">
        <f>IF(OR(H12="",J12="",J12=0),"",H12*J12)</f>
        <v/>
      </c>
      <c r="L12" s="5" t="inlineStr">
        <is>
          <t>Home Depot</t>
        </is>
      </c>
      <c r="M12" s="5" t="inlineStr">
        <is>
          <t>Kilz PVA Sealer primer 1 gal</t>
        </is>
      </c>
      <c r="N12" s="5" t="inlineStr"/>
      <c r="O12" s="5" t="inlineStr">
        <is>
          <t>Confirmed</t>
        </is>
      </c>
      <c r="P12" s="5" t="inlineStr">
        <is>
          <t>medium</t>
        </is>
      </c>
      <c r="Q12" s="5" t="inlineStr">
        <is>
          <t>PVA drywall primer — окремо від finish primer | Per gal | Ціна збір: 2026-05-28</t>
        </is>
      </c>
    </row>
    <row r="13">
      <c r="A13" s="5" t="n">
        <v>9</v>
      </c>
      <c r="B13" s="5" t="inlineStr">
        <is>
          <t>Drywall</t>
        </is>
      </c>
      <c r="C13" s="5" t="inlineStr">
        <is>
          <t>Finishing</t>
        </is>
      </c>
      <c r="D13" s="5" t="inlineStr">
        <is>
          <t>Texture Material</t>
        </is>
      </c>
      <c r="E13" s="5" t="inlineStr">
        <is>
          <t>Homax knockdown spray (CA default)</t>
        </is>
      </c>
      <c r="F13" s="5" t="inlineStr">
        <is>
          <t>cans</t>
        </is>
      </c>
      <c r="G13" s="27" t="n">
        <v>3</v>
      </c>
      <c r="H13" s="27" t="n">
        <v>4</v>
      </c>
      <c r="I13" s="27" t="n">
        <v>6</v>
      </c>
      <c r="J13" s="22" t="n">
        <v>30</v>
      </c>
      <c r="K13" s="22">
        <f>IF(OR(H13="",J13="",J13=0),"",H13*J13)</f>
        <v/>
      </c>
      <c r="L13" s="5" t="inlineStr">
        <is>
          <t>Home Depot</t>
        </is>
      </c>
      <c r="M13" s="5" t="inlineStr">
        <is>
          <t>Homax knockdown texture spray</t>
        </is>
      </c>
      <c r="N13" s="5" t="inlineStr"/>
      <c r="O13" s="5" t="inlineStr">
        <is>
          <t>TBD</t>
        </is>
      </c>
      <c r="P13" s="5" t="inlineStr">
        <is>
          <t>medium</t>
        </is>
      </c>
      <c r="Q13" s="5" t="inlineStr">
        <is>
          <t>§24.4. Texture method TBD: spray cans = allowance only | ДОДАНО (§24.4): per can. CA default knockdown | Ціна збір: 2026-05-28</t>
        </is>
      </c>
    </row>
    <row r="14">
      <c r="A14" s="5" t="n">
        <v>10</v>
      </c>
      <c r="B14" s="5" t="inlineStr">
        <is>
          <t>Drywall</t>
        </is>
      </c>
      <c r="C14" s="5" t="inlineStr">
        <is>
          <t>Access</t>
        </is>
      </c>
      <c r="D14" s="5" t="inlineStr">
        <is>
          <t>Access Panels 12×12</t>
        </is>
      </c>
      <c r="E14" s="5" t="inlineStr">
        <is>
          <t>PVC — bathroom + utility access</t>
        </is>
      </c>
      <c r="F14" s="5" t="inlineStr">
        <is>
          <t>pcs</t>
        </is>
      </c>
      <c r="G14" s="27" t="n">
        <v>1</v>
      </c>
      <c r="H14" s="27" t="n">
        <v>2</v>
      </c>
      <c r="I14" s="27" t="n">
        <v>3</v>
      </c>
      <c r="J14" s="22" t="n">
        <v>22</v>
      </c>
      <c r="K14" s="22">
        <f>IF(OR(H14="",J14="",J14=0),"",H14*J14)</f>
        <v/>
      </c>
      <c r="L14" s="5" t="inlineStr">
        <is>
          <t>Home Depot</t>
        </is>
      </c>
      <c r="M14" s="5" t="inlineStr">
        <is>
          <t>Generic PVC access panel 12x12</t>
        </is>
      </c>
      <c r="N14" s="5" t="inlineStr"/>
      <c r="O14" s="5" t="inlineStr">
        <is>
          <t>Confirmed</t>
        </is>
      </c>
      <c r="P14" s="5" t="inlineStr">
        <is>
          <t>medium</t>
        </is>
      </c>
      <c r="Q14" s="5" t="inlineStr">
        <is>
          <t>§24.4 | ДОДАНО (§24.4): plumbing/electric access | Ціна збір: 2026-05-28</t>
        </is>
      </c>
    </row>
    <row r="15">
      <c r="A15" s="5" t="n">
        <v>11</v>
      </c>
      <c r="B15" s="5" t="inlineStr">
        <is>
          <t>Drywall</t>
        </is>
      </c>
      <c r="C15" s="5" t="inlineStr">
        <is>
          <t>Finishing</t>
        </is>
      </c>
      <c r="D15" s="5" t="inlineStr">
        <is>
          <t>Drywall Mesh Tape (cement board)</t>
        </is>
      </c>
      <c r="E15" s="5" t="inlineStr">
        <is>
          <t>Alkali-resistant fiberglass</t>
        </is>
      </c>
      <c r="F15" s="5" t="inlineStr">
        <is>
          <t>rolls</t>
        </is>
      </c>
      <c r="G15" s="27" t="n">
        <v>1</v>
      </c>
      <c r="H15" s="27" t="n">
        <v>1</v>
      </c>
      <c r="I15" s="27" t="n">
        <v>2</v>
      </c>
      <c r="J15" s="22" t="n">
        <v>5</v>
      </c>
      <c r="K15" s="22">
        <f>IF(OR(H15="",J15="",J15=0),"",H15*J15)</f>
        <v/>
      </c>
      <c r="L15" s="5" t="inlineStr">
        <is>
          <t>Home Depot</t>
        </is>
      </c>
      <c r="M15" s="5" t="inlineStr">
        <is>
          <t>Generic alkali-resistant mesh tape</t>
        </is>
      </c>
      <c r="N15" s="5" t="inlineStr"/>
      <c r="O15" s="5" t="inlineStr">
        <is>
          <t>Confirmed</t>
        </is>
      </c>
      <c r="P15" s="5" t="inlineStr">
        <is>
          <t>medium</t>
        </is>
      </c>
      <c r="Q15" s="5" t="inlineStr">
        <is>
          <t>Cement board joints | ДОДАНО: cement board joints | Ціна збір: 2026-05-28</t>
        </is>
      </c>
    </row>
    <row r="16">
      <c r="A16" s="5" t="n">
        <v>12</v>
      </c>
      <c r="B16" s="5" t="inlineStr">
        <is>
          <t>Drywall</t>
        </is>
      </c>
      <c r="C16" s="5" t="inlineStr">
        <is>
          <t>Waterproofing</t>
        </is>
      </c>
      <c r="D16" s="5" t="inlineStr">
        <is>
          <t>RedGard Waterproofing Membrane</t>
        </is>
      </c>
      <c r="E16" s="5" t="inlineStr">
        <is>
          <t>Custom Building Products — shower walls</t>
        </is>
      </c>
      <c r="F16" s="5" t="inlineStr">
        <is>
          <t>gal</t>
        </is>
      </c>
      <c r="G16" s="27" t="n">
        <v>1</v>
      </c>
      <c r="H16" s="27" t="n">
        <v>1</v>
      </c>
      <c r="I16" s="27" t="n">
        <v>2</v>
      </c>
      <c r="J16" s="22" t="n">
        <v>50</v>
      </c>
      <c r="K16" s="22">
        <f>IF(OR(H16="",J16="",J16=0),"",H16*J16)</f>
        <v/>
      </c>
      <c r="L16" s="5" t="inlineStr">
        <is>
          <t>Home Depot</t>
        </is>
      </c>
      <c r="M16" s="5" t="inlineStr">
        <is>
          <t>Custom Building Products RedGard 1 gal</t>
        </is>
      </c>
      <c r="N16" s="5" t="inlineStr">
        <is>
          <t>https://www.homedepot.com/b/Flooring-Flooring-Supplies/Custom-Building-Products/Waterproofing-Membrane/N-5yc1vZcabsZ1z10jx7Z2g1</t>
        </is>
      </c>
      <c r="O16" s="5" t="inlineStr">
        <is>
          <t>Confirmed</t>
        </is>
      </c>
      <c r="P16" s="5" t="inlineStr">
        <is>
          <t>medium</t>
        </is>
      </c>
      <c r="Q16" s="5" t="inlineStr">
        <is>
          <t>За cement board у shower | ДОДАНО: waterproofing за cement board у shower | Ціна збір: 2026-05-28</t>
        </is>
      </c>
    </row>
    <row r="17">
      <c r="A17" s="5" t="n">
        <v>13</v>
      </c>
      <c r="B17" s="5" t="inlineStr">
        <is>
          <t>Drywall</t>
        </is>
      </c>
      <c r="C17" s="5" t="inlineStr">
        <is>
          <t>Finishing</t>
        </is>
      </c>
      <c r="D17" s="5" t="inlineStr">
        <is>
          <t>Sanding Consumables</t>
        </is>
      </c>
      <c r="E17" s="5" t="inlineStr">
        <is>
          <t>Sanding screens + sponges + paper</t>
        </is>
      </c>
      <c r="F17" s="5" t="inlineStr">
        <is>
          <t>set</t>
        </is>
      </c>
      <c r="G17" s="27" t="n">
        <v>1</v>
      </c>
      <c r="H17" s="27" t="n">
        <v>1</v>
      </c>
      <c r="I17" s="27" t="n">
        <v>1</v>
      </c>
      <c r="J17" s="22" t="n">
        <v>20</v>
      </c>
      <c r="K17" s="22">
        <f>IF(OR(H17="",J17="",J17=0),"",H17*J17)</f>
        <v/>
      </c>
      <c r="L17" s="5" t="inlineStr">
        <is>
          <t>Home Depot</t>
        </is>
      </c>
      <c r="M17" s="5" t="inlineStr">
        <is>
          <t>Generic sanding sponges + screens + paper set</t>
        </is>
      </c>
      <c r="N17" s="5" t="inlineStr"/>
      <c r="O17" s="5" t="inlineStr">
        <is>
          <t>Confirmed</t>
        </is>
      </c>
      <c r="P17" s="5" t="inlineStr">
        <is>
          <t>medium</t>
        </is>
      </c>
      <c r="Q17" s="5" t="inlineStr">
        <is>
          <t>ДОДАНО | Ціна збір: 2026-05-28</t>
        </is>
      </c>
    </row>
    <row r="18">
      <c r="A18" s="5" t="n">
        <v>14</v>
      </c>
      <c r="B18" s="5" t="inlineStr">
        <is>
          <t>Drywall</t>
        </is>
      </c>
      <c r="C18" s="5" t="inlineStr">
        <is>
          <t>Finishing</t>
        </is>
      </c>
      <c r="D18" s="5" t="inlineStr">
        <is>
          <t>Setting-type Compound Durabond (Optional)</t>
        </is>
      </c>
      <c r="E18" s="5" t="inlineStr">
        <is>
          <t>20-min set</t>
        </is>
      </c>
      <c r="F18" s="5" t="inlineStr">
        <is>
          <t>bag</t>
        </is>
      </c>
      <c r="G18" s="27" t="n">
        <v>0</v>
      </c>
      <c r="H18" s="27" t="n">
        <v>1</v>
      </c>
      <c r="I18" s="27" t="n">
        <v>2</v>
      </c>
      <c r="J18" s="22" t="n">
        <v>25</v>
      </c>
      <c r="K18" s="22">
        <f>IF(OR(H18="",J18="",J18=0),"",H18*J18)</f>
        <v/>
      </c>
      <c r="L18" s="5" t="inlineStr">
        <is>
          <t>Home Depot</t>
        </is>
      </c>
      <c r="M18" s="5" t="inlineStr">
        <is>
          <t>USG Durabond 90 setting-type 25 lb</t>
        </is>
      </c>
      <c r="N18" s="5" t="inlineStr"/>
      <c r="O18" s="5" t="inlineStr">
        <is>
          <t>Optional</t>
        </is>
      </c>
      <c r="P18" s="5" t="inlineStr">
        <is>
          <t>medium</t>
        </is>
      </c>
      <c r="Q18" s="5" t="inlineStr">
        <is>
          <t>ДОДАНО: 20-min set для repair/shower | Ціна збір: 2026-05-28</t>
        </is>
      </c>
    </row>
    <row r="19">
      <c r="A19" s="5" t="n">
        <v>15</v>
      </c>
      <c r="B19" s="5" t="inlineStr">
        <is>
          <t>Drywall</t>
        </is>
      </c>
      <c r="C19" s="5" t="inlineStr">
        <is>
          <t>Adhesives</t>
        </is>
      </c>
      <c r="D19" s="5" t="inlineStr">
        <is>
          <t>Drywall Adhesive (Optional)</t>
        </is>
      </c>
      <c r="E19" s="5" t="inlineStr">
        <is>
          <t>PL Premium stud attachment</t>
        </is>
      </c>
      <c r="F19" s="5" t="inlineStr">
        <is>
          <t>tubes</t>
        </is>
      </c>
      <c r="G19" s="27" t="n">
        <v>0</v>
      </c>
      <c r="H19" s="27" t="n">
        <v>6</v>
      </c>
      <c r="I19" s="27" t="n">
        <v>10</v>
      </c>
      <c r="J19" s="22" t="n">
        <v>10</v>
      </c>
      <c r="K19" s="22">
        <f>IF(OR(H19="",J19="",J19=0),"",H19*J19)</f>
        <v/>
      </c>
      <c r="L19" s="5" t="inlineStr">
        <is>
          <t>Home Depot</t>
        </is>
      </c>
      <c r="M19" s="5" t="inlineStr">
        <is>
          <t>Loctite PL Premium 10oz drywall adhesive</t>
        </is>
      </c>
      <c r="N19" s="5" t="inlineStr"/>
      <c r="O19" s="5" t="inlineStr">
        <is>
          <t>Optional</t>
        </is>
      </c>
      <c r="P19" s="5" t="inlineStr">
        <is>
          <t>medium</t>
        </is>
      </c>
      <c r="Q19" s="5" t="inlineStr">
        <is>
          <t>Reduce screws, optional | ДОДАНО: stud attachment optional | Ціна збір: 2026-05-28</t>
        </is>
      </c>
    </row>
    <row r="20">
      <c r="A20" s="5" t="n">
        <v>16</v>
      </c>
      <c r="B20" s="5" t="inlineStr">
        <is>
          <t>Drywall</t>
        </is>
      </c>
      <c r="C20" s="5" t="inlineStr">
        <is>
          <t>Board</t>
        </is>
      </c>
      <c r="D20" s="5" t="inlineStr">
        <is>
          <t>5/8" Type X Drywall (Allowance/Upgrade)</t>
        </is>
      </c>
      <c r="E20" s="5" t="inlineStr">
        <is>
          <t>Fire-rated ceiling assembly если req'd</t>
        </is>
      </c>
      <c r="F20" s="5" t="inlineStr">
        <is>
          <t>sheets</t>
        </is>
      </c>
      <c r="G20" s="27" t="n">
        <v>0</v>
      </c>
      <c r="H20" s="27" t="n">
        <v>0</v>
      </c>
      <c r="I20" s="27" t="n">
        <v>12</v>
      </c>
      <c r="J20" s="22" t="n">
        <v>18</v>
      </c>
      <c r="K20" s="22">
        <f>IF(OR(H20="",J20="",J20=0),"",H20*J20)</f>
        <v/>
      </c>
      <c r="L20" s="5" t="inlineStr">
        <is>
          <t>Home Depot</t>
        </is>
      </c>
      <c r="M20" s="5" t="inlineStr">
        <is>
          <t>5/8" Type X drywall 4x8 sheet</t>
        </is>
      </c>
      <c r="N20" s="5" t="inlineStr"/>
      <c r="O20" s="5" t="inlineStr">
        <is>
          <t>Optional</t>
        </is>
      </c>
      <c r="P20" s="5" t="inlineStr">
        <is>
          <t>medium</t>
        </is>
      </c>
      <c r="Q20" s="5" t="inlineStr">
        <is>
          <t>ДОДАНО (review): verify fire-rating ceiling requirement per §33.26. Окрема upgrade позиція | ДОДАНО (review): fire-rated upgrade. Qty 0 baseline | Ціна збір: 2026-05-28</t>
        </is>
      </c>
    </row>
    <row r="21">
      <c r="A21" s="5" t="n">
        <v>17</v>
      </c>
      <c r="B21" s="5" t="inlineStr">
        <is>
          <t>Drywall</t>
        </is>
      </c>
      <c r="C21" s="5" t="inlineStr">
        <is>
          <t>Finishing</t>
        </is>
      </c>
      <c r="D21" s="5" t="inlineStr">
        <is>
          <t>Flexible Corner Tape / No-Coat</t>
        </is>
      </c>
      <c r="E21" s="5" t="inlineStr">
        <is>
          <t>Vaulted ceiling transitions, нестандартні кути</t>
        </is>
      </c>
      <c r="F21" s="5" t="inlineStr">
        <is>
          <t>rolls</t>
        </is>
      </c>
      <c r="G21" s="27" t="n">
        <v>1</v>
      </c>
      <c r="H21" s="27" t="n">
        <v>1</v>
      </c>
      <c r="I21" s="27" t="n">
        <v>2</v>
      </c>
      <c r="J21" s="22" t="n">
        <v>10</v>
      </c>
      <c r="K21" s="22">
        <f>IF(OR(H21="",J21="",J21=0),"",H21*J21)</f>
        <v/>
      </c>
      <c r="L21" s="5" t="inlineStr">
        <is>
          <t>Home Depot</t>
        </is>
      </c>
      <c r="M21" s="5" t="inlineStr">
        <is>
          <t>No-Coat flexible corner tape 100 ft</t>
        </is>
      </c>
      <c r="N21" s="5" t="inlineStr"/>
      <c r="O21" s="5" t="inlineStr">
        <is>
          <t>Confirmed</t>
        </is>
      </c>
      <c r="P21" s="5" t="inlineStr">
        <is>
          <t>medium</t>
        </is>
      </c>
      <c r="Q21" s="5" t="inlineStr">
        <is>
          <t>ДОДАНО (review): vaulted ceiling angles | ДОДАНО (review): vaulted ceiling | Ціна збір: 2026-05-28</t>
        </is>
      </c>
    </row>
    <row r="22">
      <c r="A22" s="5" t="n">
        <v>18</v>
      </c>
      <c r="B22" s="5" t="inlineStr">
        <is>
          <t>Drywall</t>
        </is>
      </c>
      <c r="C22" s="5" t="inlineStr">
        <is>
          <t>Site Protection</t>
        </is>
      </c>
      <c r="D22" s="5" t="inlineStr">
        <is>
          <t>Plastic Sheeting / Dust Protection</t>
        </is>
      </c>
      <c r="E22" s="5" t="inlineStr">
        <is>
          <t>Floor + adjacent rooms protection</t>
        </is>
      </c>
      <c r="F22" s="5" t="inlineStr">
        <is>
          <t>rolls</t>
        </is>
      </c>
      <c r="G22" s="27" t="n">
        <v>1</v>
      </c>
      <c r="H22" s="27" t="n">
        <v>1</v>
      </c>
      <c r="I22" s="27" t="n">
        <v>2</v>
      </c>
      <c r="J22" s="22" t="n">
        <v>30</v>
      </c>
      <c r="K22" s="22">
        <f>IF(OR(H22="",J22="",J22=0),"",H22*J22)</f>
        <v/>
      </c>
      <c r="L22" s="5" t="inlineStr">
        <is>
          <t>Home Depot</t>
        </is>
      </c>
      <c r="M22" s="5" t="inlineStr">
        <is>
          <t>Generic 10x100 plastic sheeting 3-mil</t>
        </is>
      </c>
      <c r="N22" s="5" t="inlineStr"/>
      <c r="O22" s="5" t="inlineStr">
        <is>
          <t>Confirmed</t>
        </is>
      </c>
      <c r="P22" s="5" t="inlineStr">
        <is>
          <t>medium</t>
        </is>
      </c>
      <c r="Q22" s="5" t="inlineStr">
        <is>
          <t>ДОДАНО (review): mudding/sanding dust | ДОДАНО (review): dust protection | Ціна збір: 2026-05-28</t>
        </is>
      </c>
    </row>
    <row r="23">
      <c r="A23" s="5" t="n">
        <v>19</v>
      </c>
      <c r="B23" s="5" t="inlineStr">
        <is>
          <t>Drywall</t>
        </is>
      </c>
      <c r="C23" s="5" t="inlineStr">
        <is>
          <t>Finishing</t>
        </is>
      </c>
      <c r="D23" s="5" t="inlineStr">
        <is>
          <t>Control Joint / Expansion Bead (Optional)</t>
        </is>
      </c>
      <c r="E23" s="5" t="inlineStr">
        <is>
          <t>Якщо довгі площини або transitions</t>
        </is>
      </c>
      <c r="F23" s="5" t="inlineStr">
        <is>
          <t>linear ft</t>
        </is>
      </c>
      <c r="G23" s="27" t="n">
        <v>0</v>
      </c>
      <c r="H23" s="27" t="n">
        <v>0</v>
      </c>
      <c r="I23" s="27" t="n">
        <v>30</v>
      </c>
      <c r="J23" s="22" t="n">
        <v>1.5</v>
      </c>
      <c r="K23" s="22">
        <f>IF(OR(H23="",J23="",J23=0),"",H23*J23)</f>
        <v/>
      </c>
      <c r="L23" s="5" t="inlineStr">
        <is>
          <t>Home Depot</t>
        </is>
      </c>
      <c r="M23" s="5" t="inlineStr">
        <is>
          <t>Trim-Tex control joint vinyl</t>
        </is>
      </c>
      <c r="N23" s="5" t="inlineStr"/>
      <c r="O23" s="5" t="inlineStr">
        <is>
          <t>Optional</t>
        </is>
      </c>
      <c r="P23" s="5" t="inlineStr">
        <is>
          <t>medium</t>
        </is>
      </c>
      <c r="Q23" s="5" t="inlineStr">
        <is>
          <t>ДОДАНО (review): TBD per layout | ДОДАНО (review): per LF, qty 0 baseline | Ціна збір: 2026-05-28</t>
        </is>
      </c>
    </row>
    <row r="24">
      <c r="A24" s="5" t="n">
        <v>20</v>
      </c>
      <c r="B24" s="5" t="inlineStr">
        <is>
          <t>Drywall</t>
        </is>
      </c>
      <c r="C24" s="5" t="inlineStr">
        <is>
          <t>Repair</t>
        </is>
      </c>
      <c r="D24" s="5" t="inlineStr">
        <is>
          <t>Drywall Repair Patch (Optional)</t>
        </is>
      </c>
      <c r="E24" s="5" t="inlineStr">
        <is>
          <t>Для utility access або corrections</t>
        </is>
      </c>
      <c r="F24" s="5" t="inlineStr">
        <is>
          <t>pcs</t>
        </is>
      </c>
      <c r="G24" s="27" t="n">
        <v>0</v>
      </c>
      <c r="H24" s="27" t="n">
        <v>0</v>
      </c>
      <c r="I24" s="27" t="n">
        <v>2</v>
      </c>
      <c r="J24" s="22" t="n">
        <v>5</v>
      </c>
      <c r="K24" s="22">
        <f>IF(OR(H24="",J24="",J24=0),"",H24*J24)</f>
        <v/>
      </c>
      <c r="L24" s="5" t="inlineStr">
        <is>
          <t>Home Depot</t>
        </is>
      </c>
      <c r="M24" s="5" t="inlineStr">
        <is>
          <t>Generic 6x6 drywall patch</t>
        </is>
      </c>
      <c r="N24" s="5" t="inlineStr"/>
      <c r="O24" s="5" t="inlineStr">
        <is>
          <t>Optional</t>
        </is>
      </c>
      <c r="P24" s="5" t="inlineStr">
        <is>
          <t>medium</t>
        </is>
      </c>
      <c r="Q24" s="5" t="inlineStr">
        <is>
          <t>ДОДАНО (review) | ДОДАНО (review): qty 0 baseline | Ціна збір: 2026-05-28</t>
        </is>
      </c>
    </row>
    <row r="26">
      <c r="A26" s="8" t="n"/>
      <c r="B26" s="8" t="n"/>
      <c r="C26" s="9" t="inlineStr">
        <is>
          <t>ПІДСУМОК ФАЗИ</t>
        </is>
      </c>
      <c r="D26" s="8" t="n"/>
      <c r="E26" s="8" t="n"/>
      <c r="F26" s="8" t="n"/>
      <c r="G26" s="8" t="n"/>
      <c r="H26" s="8" t="n"/>
      <c r="I26" s="8" t="n"/>
      <c r="J26" s="8" t="n"/>
      <c r="K26" s="24">
        <f>SUM(K5:K24)</f>
        <v/>
      </c>
      <c r="L26" s="8" t="n"/>
      <c r="M26" s="8" t="n"/>
      <c r="N26" s="8" t="n"/>
      <c r="O26" s="8" t="n"/>
      <c r="P26" s="8" t="n"/>
      <c r="Q26" s="8" t="n"/>
    </row>
  </sheetData>
  <autoFilter ref="A4:Q24"/>
  <mergeCells count="2">
    <mergeCell ref="A2:Q2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10 — Paint (§27)</t>
        </is>
      </c>
    </row>
    <row r="2" ht="18" customHeight="1">
      <c r="A2" s="3" t="inlineStr">
        <is>
          <t>Primer + walls + ceiling + trim + bathroom moisture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Paint</t>
        </is>
      </c>
      <c r="C5" s="5" t="inlineStr">
        <is>
          <t>Wall Paint</t>
        </is>
      </c>
      <c r="D5" s="5" t="inlineStr">
        <is>
          <t>Wall Paint</t>
        </is>
      </c>
      <c r="E5" s="5" t="inlineStr">
        <is>
          <t>Behr Premium Plus Ultra eggshell, 2 coats</t>
        </is>
      </c>
      <c r="F5" s="5" t="inlineStr">
        <is>
          <t>gal</t>
        </is>
      </c>
      <c r="G5" s="27" t="n">
        <v>8</v>
      </c>
      <c r="H5" s="27" t="n">
        <v>12</v>
      </c>
      <c r="I5" s="27" t="n">
        <v>16</v>
      </c>
      <c r="J5" s="22" t="n">
        <v>35</v>
      </c>
      <c r="K5" s="22">
        <f>IF(OR(H5="",J5="",J5=0),"",H5*J5)</f>
        <v/>
      </c>
      <c r="L5" s="5" t="inlineStr">
        <is>
          <t>Home Depot</t>
        </is>
      </c>
      <c r="M5" s="5" t="inlineStr">
        <is>
          <t>Behr Premium Plus Ultra eggshell 1 gal</t>
        </is>
      </c>
      <c r="N5" s="5" t="inlineStr"/>
      <c r="O5" s="5" t="inlineStr">
        <is>
          <t>Confirmed</t>
        </is>
      </c>
      <c r="P5" s="5" t="inlineStr">
        <is>
          <t>medium</t>
        </is>
      </c>
      <c r="Q5" s="5" t="inlineStr">
        <is>
          <t>Mid підвищено 7→12 для 2-coat standard (2,200 sf × 2 / 350 = 12.6) | Range $30-45/gal. 5gal bucket cheaper per gal | Ціна збір: 2026-05-28</t>
        </is>
      </c>
    </row>
    <row r="6">
      <c r="A6" s="5" t="n">
        <v>2</v>
      </c>
      <c r="B6" s="5" t="inlineStr">
        <is>
          <t>Paint</t>
        </is>
      </c>
      <c r="C6" s="5" t="inlineStr">
        <is>
          <t>Ceiling Paint</t>
        </is>
      </c>
      <c r="D6" s="5" t="inlineStr">
        <is>
          <t>Ceiling Paint</t>
        </is>
      </c>
      <c r="E6" s="5" t="inlineStr">
        <is>
          <t>Flat white ceiling-specific</t>
        </is>
      </c>
      <c r="F6" s="5" t="inlineStr">
        <is>
          <t>gal</t>
        </is>
      </c>
      <c r="G6" s="27" t="n">
        <v>2</v>
      </c>
      <c r="H6" s="27" t="n">
        <v>3</v>
      </c>
      <c r="I6" s="27" t="n">
        <v>4</v>
      </c>
      <c r="J6" s="22" t="n">
        <v>30</v>
      </c>
      <c r="K6" s="22">
        <f>IF(OR(H6="",J6="",J6=0),"",H6*J6)</f>
        <v/>
      </c>
      <c r="L6" s="5" t="inlineStr">
        <is>
          <t>Home Depot</t>
        </is>
      </c>
      <c r="M6" s="5" t="inlineStr">
        <is>
          <t>Behr Premium Plus Ultra ceiling flat 1 gal</t>
        </is>
      </c>
      <c r="N6" s="5" t="inlineStr"/>
      <c r="O6" s="5" t="inlineStr">
        <is>
          <t>Confirmed</t>
        </is>
      </c>
      <c r="P6" s="5" t="inlineStr">
        <is>
          <t>medium</t>
        </is>
      </c>
      <c r="Q6" s="5" t="inlineStr">
        <is>
          <t>Vaulted ~400 sf × 2 coats | Flat ceiling-specific | Ціна збір: 2026-05-28</t>
        </is>
      </c>
    </row>
    <row r="7">
      <c r="A7" s="5" t="n">
        <v>3</v>
      </c>
      <c r="B7" s="5" t="inlineStr">
        <is>
          <t>Paint</t>
        </is>
      </c>
      <c r="C7" s="5" t="inlineStr">
        <is>
          <t>Specialty</t>
        </is>
      </c>
      <c r="D7" s="5" t="inlineStr">
        <is>
          <t>Bathroom Moisture-resistant Paint</t>
        </is>
      </c>
      <c r="E7" s="5" t="inlineStr">
        <is>
          <t>Behr Premium Mildew-resistant semi-gloss</t>
        </is>
      </c>
      <c r="F7" s="5" t="inlineStr">
        <is>
          <t>gal</t>
        </is>
      </c>
      <c r="G7" s="27" t="n">
        <v>1</v>
      </c>
      <c r="H7" s="27" t="n">
        <v>1</v>
      </c>
      <c r="I7" s="27" t="n">
        <v>2</v>
      </c>
      <c r="J7" s="22" t="n">
        <v>45</v>
      </c>
      <c r="K7" s="22">
        <f>IF(OR(H7="",J7="",J7=0),"",H7*J7)</f>
        <v/>
      </c>
      <c r="L7" s="5" t="inlineStr">
        <is>
          <t>Home Depot</t>
        </is>
      </c>
      <c r="M7" s="5" t="inlineStr">
        <is>
          <t>Behr Premium Mildew-resistant semi-gloss 1 gal</t>
        </is>
      </c>
      <c r="N7" s="5" t="inlineStr"/>
      <c r="O7" s="5" t="inlineStr">
        <is>
          <t>Confirmed</t>
        </is>
      </c>
      <c r="P7" s="5" t="inlineStr">
        <is>
          <t>medium</t>
        </is>
      </c>
      <c r="Q7" s="5" t="inlineStr">
        <is>
          <t>Bathroom moisture | Ціна збір: 2026-05-28</t>
        </is>
      </c>
    </row>
    <row r="8">
      <c r="A8" s="5" t="n">
        <v>4</v>
      </c>
      <c r="B8" s="5" t="inlineStr">
        <is>
          <t>Paint</t>
        </is>
      </c>
      <c r="C8" s="5" t="inlineStr">
        <is>
          <t>Trim</t>
        </is>
      </c>
      <c r="D8" s="5" t="inlineStr">
        <is>
          <t>Trim Paint</t>
        </is>
      </c>
      <c r="E8" s="5" t="inlineStr">
        <is>
          <t>Behr semi-gloss acrylic</t>
        </is>
      </c>
      <c r="F8" s="5" t="inlineStr">
        <is>
          <t>gal</t>
        </is>
      </c>
      <c r="G8" s="27" t="n">
        <v>1</v>
      </c>
      <c r="H8" s="27" t="n">
        <v>2</v>
      </c>
      <c r="I8" s="27" t="n">
        <v>3</v>
      </c>
      <c r="J8" s="22" t="n">
        <v>42</v>
      </c>
      <c r="K8" s="22">
        <f>IF(OR(H8="",J8="",J8=0),"",H8*J8)</f>
        <v/>
      </c>
      <c r="L8" s="5" t="inlineStr">
        <is>
          <t>Home Depot</t>
        </is>
      </c>
      <c r="M8" s="5" t="inlineStr">
        <is>
          <t>Behr Premium semi-gloss acrylic 1 gal</t>
        </is>
      </c>
      <c r="N8" s="5" t="inlineStr"/>
      <c r="O8" s="5" t="inlineStr">
        <is>
          <t>Confirmed</t>
        </is>
      </c>
      <c r="P8" s="5" t="inlineStr">
        <is>
          <t>medium</t>
        </is>
      </c>
      <c r="Q8" s="5" t="inlineStr">
        <is>
          <t>Trim/door paint | Ціна збір: 2026-05-28</t>
        </is>
      </c>
    </row>
    <row r="9">
      <c r="A9" s="5" t="n">
        <v>5</v>
      </c>
      <c r="B9" s="5" t="inlineStr">
        <is>
          <t>Paint</t>
        </is>
      </c>
      <c r="C9" s="5" t="inlineStr">
        <is>
          <t>Prep</t>
        </is>
      </c>
      <c r="D9" s="5" t="inlineStr">
        <is>
          <t>Painter's Caulk</t>
        </is>
      </c>
      <c r="E9" s="5" t="inlineStr">
        <is>
          <t>DAP Alex Plus latex — підвищено Mid</t>
        </is>
      </c>
      <c r="F9" s="5" t="inlineStr">
        <is>
          <t>tubes</t>
        </is>
      </c>
      <c r="G9" s="27" t="n">
        <v>6</v>
      </c>
      <c r="H9" s="27" t="n">
        <v>8</v>
      </c>
      <c r="I9" s="27" t="n">
        <v>12</v>
      </c>
      <c r="J9" s="22" t="n">
        <v>5</v>
      </c>
      <c r="K9" s="22">
        <f>IF(OR(H9="",J9="",J9=0),"",H9*J9)</f>
        <v/>
      </c>
      <c r="L9" s="5" t="inlineStr">
        <is>
          <t>Home Depot</t>
        </is>
      </c>
      <c r="M9" s="5" t="inlineStr">
        <is>
          <t>DAP Alex Plus painter's caulk</t>
        </is>
      </c>
      <c r="N9" s="5" t="inlineStr"/>
      <c r="O9" s="5" t="inlineStr">
        <is>
          <t>Confirmed</t>
        </is>
      </c>
      <c r="P9" s="5" t="inlineStr">
        <is>
          <t>medium</t>
        </is>
      </c>
      <c r="Q9" s="5" t="inlineStr">
        <is>
          <t>Mid підвищено 6→8 (review): для trim/casing/baseboards | Per tube | Ціна збір: 2026-05-28</t>
        </is>
      </c>
    </row>
    <row r="10">
      <c r="A10" s="5" t="n">
        <v>6</v>
      </c>
      <c r="B10" s="5" t="inlineStr">
        <is>
          <t>Paint</t>
        </is>
      </c>
      <c r="C10" s="5" t="inlineStr">
        <is>
          <t>Prep</t>
        </is>
      </c>
      <c r="D10" s="5" t="inlineStr">
        <is>
          <t>Painter's Tape</t>
        </is>
      </c>
      <c r="E10" s="5" t="inlineStr">
        <is>
          <t>3M ScotchBlue 1.88"</t>
        </is>
      </c>
      <c r="F10" s="5" t="inlineStr">
        <is>
          <t>rolls</t>
        </is>
      </c>
      <c r="G10" s="27" t="n">
        <v>4</v>
      </c>
      <c r="H10" s="27" t="n">
        <v>6</v>
      </c>
      <c r="I10" s="27" t="n">
        <v>8</v>
      </c>
      <c r="J10" s="22" t="n">
        <v>12</v>
      </c>
      <c r="K10" s="22">
        <f>IF(OR(H10="",J10="",J10=0),"",H10*J10)</f>
        <v/>
      </c>
      <c r="L10" s="5" t="inlineStr">
        <is>
          <t>Home Depot</t>
        </is>
      </c>
      <c r="M10" s="5" t="inlineStr">
        <is>
          <t>3M ScotchBlue painter's tape 1.88"</t>
        </is>
      </c>
      <c r="N10" s="5" t="inlineStr"/>
      <c r="O10" s="5" t="inlineStr">
        <is>
          <t>Confirmed</t>
        </is>
      </c>
      <c r="P10" s="5" t="inlineStr">
        <is>
          <t>medium</t>
        </is>
      </c>
      <c r="Q10" s="5" t="inlineStr">
        <is>
          <t>Per roll | Ціна збір: 2026-05-28</t>
        </is>
      </c>
    </row>
    <row r="11">
      <c r="A11" s="5" t="n">
        <v>7</v>
      </c>
      <c r="B11" s="5" t="inlineStr">
        <is>
          <t>Paint</t>
        </is>
      </c>
      <c r="C11" s="5" t="inlineStr">
        <is>
          <t>Prep</t>
        </is>
      </c>
      <c r="D11" s="5" t="inlineStr">
        <is>
          <t>Drop Cloths / Plastic</t>
        </is>
      </c>
      <c r="E11" s="5" t="inlineStr">
        <is>
          <t>Canvas drop cloths + plastic sheeting</t>
        </is>
      </c>
      <c r="F11" s="5" t="inlineStr">
        <is>
          <t>set</t>
        </is>
      </c>
      <c r="G11" s="27" t="n">
        <v>1</v>
      </c>
      <c r="H11" s="27" t="n">
        <v>1</v>
      </c>
      <c r="I11" s="27" t="n">
        <v>2</v>
      </c>
      <c r="J11" s="22" t="n">
        <v>30</v>
      </c>
      <c r="K11" s="22">
        <f>IF(OR(H11="",J11="",J11=0),"",H11*J11)</f>
        <v/>
      </c>
      <c r="L11" s="5" t="inlineStr">
        <is>
          <t>Home Depot</t>
        </is>
      </c>
      <c r="M11" s="5" t="inlineStr">
        <is>
          <t>Generic canvas drop cloths + plastic set</t>
        </is>
      </c>
      <c r="N11" s="5" t="inlineStr"/>
      <c r="O11" s="5" t="inlineStr">
        <is>
          <t>Confirmed</t>
        </is>
      </c>
      <c r="P11" s="5" t="inlineStr">
        <is>
          <t>medium</t>
        </is>
      </c>
      <c r="Q11" s="5" t="inlineStr">
        <is>
          <t>Mixed canvas + plastic sheeting | Ціна збір: 2026-05-28</t>
        </is>
      </c>
    </row>
    <row r="12">
      <c r="A12" s="5" t="n">
        <v>8</v>
      </c>
      <c r="B12" s="5" t="inlineStr">
        <is>
          <t>Paint</t>
        </is>
      </c>
      <c r="C12" s="5" t="inlineStr">
        <is>
          <t>Prep</t>
        </is>
      </c>
      <c r="D12" s="5" t="inlineStr">
        <is>
          <t>Sandpaper / Wood Filler</t>
        </is>
      </c>
      <c r="E12" s="5" t="inlineStr">
        <is>
          <t>Assortment + wood filler</t>
        </is>
      </c>
      <c r="F12" s="5" t="inlineStr">
        <is>
          <t>set</t>
        </is>
      </c>
      <c r="G12" s="27" t="n">
        <v>1</v>
      </c>
      <c r="H12" s="27" t="n">
        <v>1</v>
      </c>
      <c r="I12" s="27" t="n">
        <v>1</v>
      </c>
      <c r="J12" s="22" t="n">
        <v>20</v>
      </c>
      <c r="K12" s="22">
        <f>IF(OR(H12="",J12="",J12=0),"",H12*J12)</f>
        <v/>
      </c>
      <c r="L12" s="5" t="inlineStr">
        <is>
          <t>Home Depot</t>
        </is>
      </c>
      <c r="M12" s="5" t="inlineStr">
        <is>
          <t>Generic sandpaper + DAP wood filler set</t>
        </is>
      </c>
      <c r="N12" s="5" t="inlineStr"/>
      <c r="O12" s="5" t="inlineStr">
        <is>
          <t>Confirmed</t>
        </is>
      </c>
      <c r="P12" s="5" t="inlineStr">
        <is>
          <t>medium</t>
        </is>
      </c>
      <c r="Q12" s="5" t="inlineStr">
        <is>
          <t>Assortment grit + filler | Ціна збір: 2026-05-28</t>
        </is>
      </c>
    </row>
    <row r="13">
      <c r="A13" s="5" t="n">
        <v>9</v>
      </c>
      <c r="B13" s="5" t="inlineStr">
        <is>
          <t>Paint</t>
        </is>
      </c>
      <c r="C13" s="5" t="inlineStr">
        <is>
          <t>Touch-up</t>
        </is>
      </c>
      <c r="D13" s="5" t="inlineStr">
        <is>
          <t>Touch-up Supplies</t>
        </is>
      </c>
      <c r="E13" s="5" t="inlineStr">
        <is>
          <t>Mini-rollers + small brushes + containers</t>
        </is>
      </c>
      <c r="F13" s="5" t="inlineStr">
        <is>
          <t>set</t>
        </is>
      </c>
      <c r="G13" s="27" t="n">
        <v>1</v>
      </c>
      <c r="H13" s="27" t="n">
        <v>1</v>
      </c>
      <c r="I13" s="27" t="n">
        <v>1</v>
      </c>
      <c r="J13" s="22" t="n">
        <v>15</v>
      </c>
      <c r="K13" s="22">
        <f>IF(OR(H13="",J13="",J13=0),"",H13*J13)</f>
        <v/>
      </c>
      <c r="L13" s="5" t="inlineStr">
        <is>
          <t>Home Depot</t>
        </is>
      </c>
      <c r="M13" s="5" t="inlineStr">
        <is>
          <t>Generic touch-up supplies kit</t>
        </is>
      </c>
      <c r="N13" s="5" t="inlineStr"/>
      <c r="O13" s="5" t="inlineStr">
        <is>
          <t>Confirmed</t>
        </is>
      </c>
      <c r="P13" s="5" t="inlineStr">
        <is>
          <t>medium</t>
        </is>
      </c>
      <c r="Q13" s="5" t="inlineStr">
        <is>
          <t>ДОДАНО (per §27.2) | ДОДАНО (per §27.2) | Ціна збір: 2026-05-28</t>
        </is>
      </c>
    </row>
    <row r="14">
      <c r="A14" s="5" t="n">
        <v>10</v>
      </c>
      <c r="B14" s="5" t="inlineStr">
        <is>
          <t>Paint</t>
        </is>
      </c>
      <c r="C14" s="5" t="inlineStr">
        <is>
          <t>Tools</t>
        </is>
      </c>
      <c r="D14" s="5" t="inlineStr">
        <is>
          <t>Paint Rollers + Covers</t>
        </is>
      </c>
      <c r="E14" s="5" t="inlineStr">
        <is>
          <t>9" 3/8" nap covers 6-pack</t>
        </is>
      </c>
      <c r="F14" s="5" t="inlineStr">
        <is>
          <t>set</t>
        </is>
      </c>
      <c r="G14" s="27" t="n">
        <v>1</v>
      </c>
      <c r="H14" s="27" t="n">
        <v>1</v>
      </c>
      <c r="I14" s="27" t="n">
        <v>2</v>
      </c>
      <c r="J14" s="22" t="n">
        <v>20</v>
      </c>
      <c r="K14" s="22">
        <f>IF(OR(H14="",J14="",J14=0),"",H14*J14)</f>
        <v/>
      </c>
      <c r="L14" s="5" t="inlineStr">
        <is>
          <t>Home Depot</t>
        </is>
      </c>
      <c r="M14" s="5" t="inlineStr">
        <is>
          <t>Wooster 9" roller covers 6-pack 3/8 nap</t>
        </is>
      </c>
      <c r="N14" s="5" t="inlineStr"/>
      <c r="O14" s="5" t="inlineStr">
        <is>
          <t>Confirmed</t>
        </is>
      </c>
      <c r="P14" s="5" t="inlineStr">
        <is>
          <t>medium</t>
        </is>
      </c>
      <c r="Q14" s="5" t="inlineStr">
        <is>
          <t>ДОДАНО | ДОДАНО | Ціна збір: 2026-05-28</t>
        </is>
      </c>
    </row>
    <row r="15">
      <c r="A15" s="5" t="n">
        <v>11</v>
      </c>
      <c r="B15" s="5" t="inlineStr">
        <is>
          <t>Paint</t>
        </is>
      </c>
      <c r="C15" s="5" t="inlineStr">
        <is>
          <t>Tools</t>
        </is>
      </c>
      <c r="D15" s="5" t="inlineStr">
        <is>
          <t>Paint Brushes</t>
        </is>
      </c>
      <c r="E15" s="5" t="inlineStr">
        <is>
          <t>2" + 2.5" + 3" angled sash mix</t>
        </is>
      </c>
      <c r="F15" s="5" t="inlineStr">
        <is>
          <t>set</t>
        </is>
      </c>
      <c r="G15" s="27" t="n">
        <v>1</v>
      </c>
      <c r="H15" s="27" t="n">
        <v>1</v>
      </c>
      <c r="I15" s="27" t="n">
        <v>2</v>
      </c>
      <c r="J15" s="22" t="n">
        <v>25</v>
      </c>
      <c r="K15" s="22">
        <f>IF(OR(H15="",J15="",J15=0),"",H15*J15)</f>
        <v/>
      </c>
      <c r="L15" s="5" t="inlineStr">
        <is>
          <t>Home Depot</t>
        </is>
      </c>
      <c r="M15" s="5" t="inlineStr">
        <is>
          <t>Purdy paint brushes set 2"+2.5"+3"</t>
        </is>
      </c>
      <c r="N15" s="5" t="inlineStr"/>
      <c r="O15" s="5" t="inlineStr">
        <is>
          <t>Confirmed</t>
        </is>
      </c>
      <c r="P15" s="5" t="inlineStr">
        <is>
          <t>medium</t>
        </is>
      </c>
      <c r="Q15" s="5" t="inlineStr">
        <is>
          <t>ДОДАНО | ДОДАНО | Ціна збір: 2026-05-28</t>
        </is>
      </c>
    </row>
    <row r="16">
      <c r="A16" s="5" t="n">
        <v>12</v>
      </c>
      <c r="B16" s="5" t="inlineStr">
        <is>
          <t>Paint</t>
        </is>
      </c>
      <c r="C16" s="5" t="inlineStr">
        <is>
          <t>Tools</t>
        </is>
      </c>
      <c r="D16" s="5" t="inlineStr">
        <is>
          <t>Paint Trays + Liners</t>
        </is>
      </c>
      <c r="E16" s="5" t="inlineStr">
        <is>
          <t>9" tray + disposable liners 4-pack</t>
        </is>
      </c>
      <c r="F16" s="5" t="inlineStr">
        <is>
          <t>set</t>
        </is>
      </c>
      <c r="G16" s="27" t="n">
        <v>1</v>
      </c>
      <c r="H16" s="27" t="n">
        <v>1</v>
      </c>
      <c r="I16" s="27" t="n">
        <v>2</v>
      </c>
      <c r="J16" s="22" t="n">
        <v>15</v>
      </c>
      <c r="K16" s="22">
        <f>IF(OR(H16="",J16="",J16=0),"",H16*J16)</f>
        <v/>
      </c>
      <c r="L16" s="5" t="inlineStr">
        <is>
          <t>Home Depot</t>
        </is>
      </c>
      <c r="M16" s="5" t="inlineStr">
        <is>
          <t>9" paint tray + 4-pack disposable liners</t>
        </is>
      </c>
      <c r="N16" s="5" t="inlineStr"/>
      <c r="O16" s="5" t="inlineStr">
        <is>
          <t>Confirmed</t>
        </is>
      </c>
      <c r="P16" s="5" t="inlineStr">
        <is>
          <t>medium</t>
        </is>
      </c>
      <c r="Q16" s="5" t="inlineStr">
        <is>
          <t>ДОДАНО | ДОДАНО | Ціна збір: 2026-05-28</t>
        </is>
      </c>
    </row>
    <row r="17">
      <c r="A17" s="5" t="n">
        <v>13</v>
      </c>
      <c r="B17" s="5" t="inlineStr">
        <is>
          <t>Paint</t>
        </is>
      </c>
      <c r="C17" s="5" t="inlineStr">
        <is>
          <t>Tools</t>
        </is>
      </c>
      <c r="D17" s="5" t="inlineStr">
        <is>
          <t>Roller Poles / Extensions</t>
        </is>
      </c>
      <c r="E17" s="5" t="inlineStr">
        <is>
          <t>Telescoping для 12 ft vaulted ceiling</t>
        </is>
      </c>
      <c r="F17" s="5" t="inlineStr">
        <is>
          <t>pcs</t>
        </is>
      </c>
      <c r="G17" s="27" t="n">
        <v>1</v>
      </c>
      <c r="H17" s="27" t="n">
        <v>1</v>
      </c>
      <c r="I17" s="27" t="n">
        <v>1</v>
      </c>
      <c r="J17" s="22" t="n">
        <v>20</v>
      </c>
      <c r="K17" s="22">
        <f>IF(OR(H17="",J17="",J17=0),"",H17*J17)</f>
        <v/>
      </c>
      <c r="L17" s="5" t="inlineStr">
        <is>
          <t>Home Depot</t>
        </is>
      </c>
      <c r="M17" s="5" t="inlineStr">
        <is>
          <t>Generic telescoping roller pole 4-8 ft</t>
        </is>
      </c>
      <c r="N17" s="5" t="inlineStr"/>
      <c r="O17" s="5" t="inlineStr">
        <is>
          <t>Confirmed</t>
        </is>
      </c>
      <c r="P17" s="5" t="inlineStr">
        <is>
          <t>medium</t>
        </is>
      </c>
      <c r="Q17" s="5" t="inlineStr">
        <is>
          <t>ДОДАНО | ДОДАНО: vaulted ceiling | Ціна збір: 2026-05-28</t>
        </is>
      </c>
    </row>
    <row r="18">
      <c r="A18" s="5" t="n">
        <v>14</v>
      </c>
      <c r="B18" s="5" t="inlineStr">
        <is>
          <t>Paint</t>
        </is>
      </c>
      <c r="C18" s="5" t="inlineStr">
        <is>
          <t>Prep</t>
        </is>
      </c>
      <c r="D18" s="5" t="inlineStr">
        <is>
          <t>Spackling Compound</t>
        </is>
      </c>
      <c r="E18" s="5" t="inlineStr">
        <is>
          <t>Для дрібних отворів (не joint compound)</t>
        </is>
      </c>
      <c r="F18" s="5" t="inlineStr">
        <is>
          <t>container</t>
        </is>
      </c>
      <c r="G18" s="27" t="n">
        <v>1</v>
      </c>
      <c r="H18" s="27" t="n">
        <v>1</v>
      </c>
      <c r="I18" s="27" t="n">
        <v>2</v>
      </c>
      <c r="J18" s="22" t="n">
        <v>8</v>
      </c>
      <c r="K18" s="22">
        <f>IF(OR(H18="",J18="",J18=0),"",H18*J18)</f>
        <v/>
      </c>
      <c r="L18" s="5" t="inlineStr">
        <is>
          <t>Home Depot</t>
        </is>
      </c>
      <c r="M18" s="5" t="inlineStr">
        <is>
          <t>DAP DryDex spackling compound 1 lb</t>
        </is>
      </c>
      <c r="N18" s="5" t="inlineStr"/>
      <c r="O18" s="5" t="inlineStr">
        <is>
          <t>Confirmed</t>
        </is>
      </c>
      <c r="P18" s="5" t="inlineStr">
        <is>
          <t>medium</t>
        </is>
      </c>
      <c r="Q18" s="5" t="inlineStr">
        <is>
          <t>ДОДАНО | ДОДАНО: малі отвори | Ціна збір: 2026-05-28</t>
        </is>
      </c>
    </row>
    <row r="19">
      <c r="A19" s="5" t="n">
        <v>15</v>
      </c>
      <c r="B19" s="5" t="inlineStr">
        <is>
          <t>Paint</t>
        </is>
      </c>
      <c r="C19" s="5" t="inlineStr">
        <is>
          <t>Primer</t>
        </is>
      </c>
      <c r="D19" s="5" t="inlineStr">
        <is>
          <t>Finish Primer / Stain Blocker</t>
        </is>
      </c>
      <c r="E19" s="5" t="inlineStr">
        <is>
          <t>Kilz Premium — wood trim/knots — окремо від Phase 9 PVA</t>
        </is>
      </c>
      <c r="F19" s="5" t="inlineStr">
        <is>
          <t>gal</t>
        </is>
      </c>
      <c r="G19" s="27" t="n">
        <v>0</v>
      </c>
      <c r="H19" s="27" t="n">
        <v>1</v>
      </c>
      <c r="I19" s="27" t="n">
        <v>2</v>
      </c>
      <c r="J19" s="22" t="n">
        <v>25</v>
      </c>
      <c r="K19" s="22">
        <f>IF(OR(H19="",J19="",J19=0),"",H19*J19)</f>
        <v/>
      </c>
      <c r="L19" s="5" t="inlineStr">
        <is>
          <t>Home Depot</t>
        </is>
      </c>
      <c r="M19" s="5" t="inlineStr">
        <is>
          <t>Kilz Premium oil-based stain blocker 1 gal</t>
        </is>
      </c>
      <c r="N19" s="5" t="inlineStr"/>
      <c r="O19" s="5" t="inlineStr">
        <is>
          <t>Confirmed</t>
        </is>
      </c>
      <c r="P19" s="5" t="inlineStr">
        <is>
          <t>medium</t>
        </is>
      </c>
      <c r="Q19" s="5" t="inlineStr">
        <is>
          <t>ДОДАНО: різний від PVA drywall primer (Phase 9) | ДОДАНО: finish primer окремо від Phase 9 PVA | Ціна збір: 2026-05-28</t>
        </is>
      </c>
    </row>
    <row r="20">
      <c r="A20" s="5" t="n">
        <v>16</v>
      </c>
      <c r="B20" s="5" t="inlineStr">
        <is>
          <t>Paint</t>
        </is>
      </c>
      <c r="C20" s="5" t="inlineStr">
        <is>
          <t>Cleanup</t>
        </is>
      </c>
      <c r="D20" s="5" t="inlineStr">
        <is>
          <t>Cleanup Supplies</t>
        </is>
      </c>
      <c r="E20" s="5" t="inlineStr">
        <is>
          <t>Goof Off + rags + soap. Mineral spirits ONLY if oil-based primer used (r19)</t>
        </is>
      </c>
      <c r="F20" s="5" t="inlineStr">
        <is>
          <t>set</t>
        </is>
      </c>
      <c r="G20" s="27" t="n">
        <v>1</v>
      </c>
      <c r="H20" s="27" t="n">
        <v>1</v>
      </c>
      <c r="I20" s="27" t="n">
        <v>1</v>
      </c>
      <c r="J20" s="22" t="n">
        <v>15</v>
      </c>
      <c r="K20" s="22">
        <f>IF(OR(H20="",J20="",J20=0),"",H20*J20)</f>
        <v/>
      </c>
      <c r="L20" s="5" t="inlineStr">
        <is>
          <t>Home Depot</t>
        </is>
      </c>
      <c r="M20" s="5" t="inlineStr">
        <is>
          <t>Mineral spirits 1 gal + Goof Off + rags</t>
        </is>
      </c>
      <c r="N20" s="5" t="inlineStr"/>
      <c r="O20" s="5" t="inlineStr">
        <is>
          <t>Confirmed</t>
        </is>
      </c>
      <c r="P20" s="5" t="inlineStr">
        <is>
          <t>medium</t>
        </is>
      </c>
      <c r="Q20" s="5" t="inlineStr">
        <is>
          <t>ДОДАНО: cleanup combo | Ціна збір: 2026-05-28</t>
        </is>
      </c>
    </row>
    <row r="21">
      <c r="A21" s="5" t="n">
        <v>17</v>
      </c>
      <c r="B21" s="5" t="inlineStr">
        <is>
          <t>Paint</t>
        </is>
      </c>
      <c r="C21" s="5" t="inlineStr">
        <is>
          <t>Prep</t>
        </is>
      </c>
      <c r="D21" s="5" t="inlineStr">
        <is>
          <t>Putty Knives / Scrapers</t>
        </is>
      </c>
      <c r="E21" s="5" t="inlineStr">
        <is>
          <t>Set для wood filler/spackling application</t>
        </is>
      </c>
      <c r="F21" s="5" t="inlineStr">
        <is>
          <t>set</t>
        </is>
      </c>
      <c r="G21" s="27" t="n">
        <v>1</v>
      </c>
      <c r="H21" s="27" t="n">
        <v>1</v>
      </c>
      <c r="I21" s="27" t="n">
        <v>1</v>
      </c>
      <c r="J21" s="22" t="n">
        <v>15</v>
      </c>
      <c r="K21" s="22">
        <f>IF(OR(H21="",J21="",J21=0),"",H21*J21)</f>
        <v/>
      </c>
      <c r="L21" s="5" t="inlineStr">
        <is>
          <t>Home Depot</t>
        </is>
      </c>
      <c r="M21" s="5" t="inlineStr">
        <is>
          <t>Generic putty knife + scraper set</t>
        </is>
      </c>
      <c r="N21" s="5" t="inlineStr"/>
      <c r="O21" s="5" t="inlineStr">
        <is>
          <t>Confirmed</t>
        </is>
      </c>
      <c r="P21" s="5" t="inlineStr">
        <is>
          <t>medium</t>
        </is>
      </c>
      <c r="Q21" s="5" t="inlineStr">
        <is>
          <t>ДОДАНО | Ціна збір: 2026-05-28</t>
        </is>
      </c>
    </row>
    <row r="22">
      <c r="A22" s="5" t="n">
        <v>18</v>
      </c>
      <c r="B22" s="5" t="inlineStr">
        <is>
          <t>Paint</t>
        </is>
      </c>
      <c r="C22" s="5" t="inlineStr">
        <is>
          <t>Sealant</t>
        </is>
      </c>
      <c r="D22" s="5" t="inlineStr">
        <is>
          <t>100% Silicone Bathroom Caulk</t>
        </is>
      </c>
      <c r="E22" s="5" t="inlineStr">
        <is>
          <t>GE Silicone II / DAP Kwik Seal для wet joints</t>
        </is>
      </c>
      <c r="F22" s="5" t="inlineStr">
        <is>
          <t>tubes</t>
        </is>
      </c>
      <c r="G22" s="27" t="n">
        <v>2</v>
      </c>
      <c r="H22" s="27" t="n">
        <v>2</v>
      </c>
      <c r="I22" s="27" t="n">
        <v>3</v>
      </c>
      <c r="J22" s="22" t="n">
        <v>7</v>
      </c>
      <c r="K22" s="22">
        <f>IF(OR(H22="",J22="",J22=0),"",H22*J22)</f>
        <v/>
      </c>
      <c r="L22" s="5" t="inlineStr">
        <is>
          <t>Home Depot</t>
        </is>
      </c>
      <c r="M22" s="5" t="inlineStr">
        <is>
          <t>GE Silicone II 100% silicone caulk</t>
        </is>
      </c>
      <c r="N22" s="5" t="inlineStr"/>
      <c r="O22" s="5" t="inlineStr">
        <is>
          <t>Confirmed</t>
        </is>
      </c>
      <c r="P22" s="5" t="inlineStr">
        <is>
          <t>medium</t>
        </is>
      </c>
      <c r="Q22" s="5" t="inlineStr">
        <is>
          <t>ДОДАНО (review): painter's caulk не замінює silicone для wet joints | ДОДАНО (review): wet joints bathroom/laundry | Ціна збір: 2026-05-28</t>
        </is>
      </c>
    </row>
    <row r="23">
      <c r="A23" s="5" t="n">
        <v>19</v>
      </c>
      <c r="B23" s="5" t="inlineStr">
        <is>
          <t>Paint</t>
        </is>
      </c>
      <c r="C23" s="5" t="inlineStr">
        <is>
          <t>Prep</t>
        </is>
      </c>
      <c r="D23" s="5" t="inlineStr">
        <is>
          <t>Masking Film / Pre-taped Plastic</t>
        </is>
      </c>
      <c r="E23" s="5" t="inlineStr">
        <is>
          <t>Захист windows/doors/floor/cabinets</t>
        </is>
      </c>
      <c r="F23" s="5" t="inlineStr">
        <is>
          <t>rolls</t>
        </is>
      </c>
      <c r="G23" s="27" t="n">
        <v>1</v>
      </c>
      <c r="H23" s="27" t="n">
        <v>1</v>
      </c>
      <c r="I23" s="27" t="n">
        <v>2</v>
      </c>
      <c r="J23" s="22" t="n">
        <v>15</v>
      </c>
      <c r="K23" s="22">
        <f>IF(OR(H23="",J23="",J23=0),"",H23*J23)</f>
        <v/>
      </c>
      <c r="L23" s="5" t="inlineStr">
        <is>
          <t>Home Depot</t>
        </is>
      </c>
      <c r="M23" s="5" t="inlineStr">
        <is>
          <t>Trimaco pre-taped plastic masking film</t>
        </is>
      </c>
      <c r="N23" s="5" t="inlineStr"/>
      <c r="O23" s="5" t="inlineStr">
        <is>
          <t>Confirmed</t>
        </is>
      </c>
      <c r="P23" s="5" t="inlineStr">
        <is>
          <t>medium</t>
        </is>
      </c>
      <c r="Q23" s="5" t="inlineStr">
        <is>
          <t>ДОДАНО (review) | ДОДАНО (review): cabinet/floor protection | Ціна збір: 2026-05-28</t>
        </is>
      </c>
    </row>
    <row r="24">
      <c r="A24" s="5" t="n">
        <v>20</v>
      </c>
      <c r="B24" s="5" t="inlineStr">
        <is>
          <t>Paint</t>
        </is>
      </c>
      <c r="C24" s="5" t="inlineStr">
        <is>
          <t>Prep</t>
        </is>
      </c>
      <c r="D24" s="5" t="inlineStr">
        <is>
          <t>Tack Cloth / Microfiber Cloths</t>
        </is>
      </c>
      <c r="E24" s="5" t="inlineStr">
        <is>
          <t>Trim prep перед фарбуванням</t>
        </is>
      </c>
      <c r="F24" s="5" t="inlineStr">
        <is>
          <t>pack</t>
        </is>
      </c>
      <c r="G24" s="27" t="n">
        <v>1</v>
      </c>
      <c r="H24" s="27" t="n">
        <v>1</v>
      </c>
      <c r="I24" s="27" t="n">
        <v>1</v>
      </c>
      <c r="J24" s="22" t="n">
        <v>10</v>
      </c>
      <c r="K24" s="22">
        <f>IF(OR(H24="",J24="",J24=0),"",H24*J24)</f>
        <v/>
      </c>
      <c r="L24" s="5" t="inlineStr">
        <is>
          <t>Home Depot</t>
        </is>
      </c>
      <c r="M24" s="5" t="inlineStr">
        <is>
          <t>Generic tack cloth + microfiber cloths</t>
        </is>
      </c>
      <c r="N24" s="5" t="inlineStr"/>
      <c r="O24" s="5" t="inlineStr">
        <is>
          <t>Confirmed</t>
        </is>
      </c>
      <c r="P24" s="5" t="inlineStr">
        <is>
          <t>medium</t>
        </is>
      </c>
      <c r="Q24" s="5" t="inlineStr">
        <is>
          <t>ДОДАНО (review) | ДОДАНО (review): trim prep | Ціна збір: 2026-05-28</t>
        </is>
      </c>
    </row>
    <row r="26">
      <c r="A26" s="8" t="n"/>
      <c r="B26" s="8" t="n"/>
      <c r="C26" s="9" t="inlineStr">
        <is>
          <t>ПІДСУМОК ФАЗИ</t>
        </is>
      </c>
      <c r="D26" s="8" t="n"/>
      <c r="E26" s="8" t="n"/>
      <c r="F26" s="8" t="n"/>
      <c r="G26" s="8" t="n"/>
      <c r="H26" s="8" t="n"/>
      <c r="I26" s="8" t="n"/>
      <c r="J26" s="8" t="n"/>
      <c r="K26" s="24">
        <f>SUM(K5:K24)</f>
        <v/>
      </c>
      <c r="L26" s="8" t="n"/>
      <c r="M26" s="8" t="n"/>
      <c r="N26" s="8" t="n"/>
      <c r="O26" s="8" t="n"/>
      <c r="P26" s="8" t="n"/>
      <c r="Q26" s="8" t="n"/>
    </row>
  </sheetData>
  <autoFilter ref="A4:Q24"/>
  <mergeCells count="2">
    <mergeCell ref="A2:Q2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11 — Flooring &amp; Trim (§26)</t>
        </is>
      </c>
    </row>
    <row r="2" ht="18" customHeight="1">
      <c r="A2" s="3" t="inlineStr">
        <is>
          <t>LVP 350 sf + baseboards 140 LF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Flooring</t>
        </is>
      </c>
      <c r="C5" s="5" t="inlineStr">
        <is>
          <t>Flooring</t>
        </is>
      </c>
      <c r="D5" s="5" t="inlineStr">
        <is>
          <t>LVP / Luxury Vinyl Plank</t>
        </is>
      </c>
      <c r="E5" s="5" t="inlineStr">
        <is>
          <t>LifeProof 22 MIL click-lock waterproof</t>
        </is>
      </c>
      <c r="F5" s="5" t="inlineStr">
        <is>
          <t>sq ft</t>
        </is>
      </c>
      <c r="G5" s="27" t="n">
        <v>315</v>
      </c>
      <c r="H5" s="27" t="n">
        <v>350</v>
      </c>
      <c r="I5" s="27" t="n">
        <v>380</v>
      </c>
      <c r="J5" s="22" t="n">
        <v>3</v>
      </c>
      <c r="K5" s="22">
        <f>IF(OR(H5="",J5="",J5=0),"",H5*J5)</f>
        <v/>
      </c>
      <c r="L5" s="5" t="inlineStr">
        <is>
          <t>Home Depot</t>
        </is>
      </c>
      <c r="M5" s="5" t="inlineStr">
        <is>
          <t>LifeProof 22 MIL Click-Lock Waterproof LVP</t>
        </is>
      </c>
      <c r="N5" s="5" t="inlineStr">
        <is>
          <t>https://www.homedepot.com/p/Lifeproof-Sterling-Oak-22-MIL-x-8-7-in-W-x-48-in-L-Click-Lock-Waterproof-Luxury-Vinyl-Plank-Flooring-20-1-sqft-case-I966106LP/309083456</t>
        </is>
      </c>
      <c r="O5" s="5" t="inlineStr">
        <is>
          <t>Confirmed</t>
        </is>
      </c>
      <c r="P5" s="5" t="inlineStr">
        <is>
          <t>high</t>
        </is>
      </c>
      <c r="Q5" s="5" t="inlineStr">
        <is>
          <t>Across entire ADU. Long dimension parallel to walls (21 ft) | $2.98-3.50/sf. LifeProof Sterling Oak / Trail / Fresh — Home Depot exclusive (Shaw) | Ціна збір: 2026-05-28</t>
        </is>
      </c>
    </row>
    <row r="6">
      <c r="A6" s="5" t="n">
        <v>2</v>
      </c>
      <c r="B6" s="5" t="inlineStr">
        <is>
          <t>Flooring</t>
        </is>
      </c>
      <c r="C6" s="5" t="inlineStr">
        <is>
          <t>Flooring</t>
        </is>
      </c>
      <c r="D6" s="5" t="inlineStr">
        <is>
          <t>Underlayment (Optional)</t>
        </is>
      </c>
      <c r="E6" s="5" t="inlineStr">
        <is>
          <t>Foam 2mm з vapor barrier — ONLY if LVP без attached pad</t>
        </is>
      </c>
      <c r="F6" s="5" t="inlineStr">
        <is>
          <t>sq ft</t>
        </is>
      </c>
      <c r="G6" s="27" t="n">
        <v>0</v>
      </c>
      <c r="H6" s="27" t="n">
        <v>0</v>
      </c>
      <c r="I6" s="27" t="n">
        <v>380</v>
      </c>
      <c r="J6" s="22" t="n">
        <v>0.3</v>
      </c>
      <c r="K6" s="22">
        <f>IF(OR(H6="",J6="",J6=0),"",H6*J6)</f>
        <v/>
      </c>
      <c r="L6" s="5" t="inlineStr">
        <is>
          <t>Home Depot</t>
        </is>
      </c>
      <c r="M6" s="5" t="inlineStr">
        <is>
          <t>Roberts Super Felt foam underlayment</t>
        </is>
      </c>
      <c r="N6" s="5" t="inlineStr"/>
      <c r="O6" s="5" t="inlineStr">
        <is>
          <t>TBD</t>
        </is>
      </c>
      <c r="P6" s="5" t="inlineStr">
        <is>
          <t>medium</t>
        </is>
      </c>
      <c r="Q6" s="5" t="inlineStr">
        <is>
          <t>LifeProof 22 MIL зазвичай має attached underlayment — verify product specs. Mid 0 baseline | Per sf. Verify if LVP має attached underlayment first | Ціна збір: 2026-05-28</t>
        </is>
      </c>
    </row>
    <row r="7">
      <c r="A7" s="5" t="n">
        <v>3</v>
      </c>
      <c r="B7" s="5" t="inlineStr">
        <is>
          <t>Flooring</t>
        </is>
      </c>
      <c r="C7" s="5" t="inlineStr">
        <is>
          <t>Trim</t>
        </is>
      </c>
      <c r="D7" s="5" t="inlineStr">
        <is>
          <t>Decorative Transition Strips</t>
        </is>
      </c>
      <c r="E7" s="5" t="inlineStr">
        <is>
          <t>T-molding + reducer + end-cap для LVP</t>
        </is>
      </c>
      <c r="F7" s="5" t="inlineStr">
        <is>
          <t>pcs</t>
        </is>
      </c>
      <c r="G7" s="27" t="n">
        <v>3</v>
      </c>
      <c r="H7" s="27" t="n">
        <v>4</v>
      </c>
      <c r="I7" s="27" t="n">
        <v>5</v>
      </c>
      <c r="J7" s="22" t="n">
        <v>20</v>
      </c>
      <c r="K7" s="22">
        <f>IF(OR(H7="",J7="",J7=0),"",H7*J7)</f>
        <v/>
      </c>
      <c r="L7" s="5" t="inlineStr">
        <is>
          <t>Home Depot</t>
        </is>
      </c>
      <c r="M7" s="5" t="inlineStr">
        <is>
          <t>Generic LVP T-molding/reducer/end-cap</t>
        </is>
      </c>
      <c r="N7" s="5" t="inlineStr"/>
      <c r="O7" s="5" t="inlineStr">
        <is>
          <t>Confirmed</t>
        </is>
      </c>
      <c r="P7" s="5" t="inlineStr">
        <is>
          <t>medium</t>
        </is>
      </c>
      <c r="Q7" s="5" t="inlineStr">
        <is>
          <t>Decorative (LVP transitions). Phase 2 r13 = structural (10" raise) | Per piece. Average mix | Ціна збір: 2026-05-28</t>
        </is>
      </c>
    </row>
    <row r="8">
      <c r="A8" s="5" t="n">
        <v>4</v>
      </c>
      <c r="B8" s="5" t="inlineStr">
        <is>
          <t>Flooring</t>
        </is>
      </c>
      <c r="C8" s="5" t="inlineStr">
        <is>
          <t>Trim</t>
        </is>
      </c>
      <c r="D8" s="5" t="inlineStr">
        <is>
          <t>Baseboards</t>
        </is>
      </c>
      <c r="E8" s="5" t="inlineStr">
        <is>
          <t>5.25" pine MDF primed</t>
        </is>
      </c>
      <c r="F8" s="5" t="inlineStr">
        <is>
          <t>linear ft</t>
        </is>
      </c>
      <c r="G8" s="27" t="n">
        <v>130</v>
      </c>
      <c r="H8" s="27" t="n">
        <v>150</v>
      </c>
      <c r="I8" s="27" t="n">
        <v>170</v>
      </c>
      <c r="J8" s="22" t="n">
        <v>0.85</v>
      </c>
      <c r="K8" s="22">
        <f>IF(OR(H8="",J8="",J8=0),"",H8*J8)</f>
        <v/>
      </c>
      <c r="L8" s="5" t="inlineStr">
        <is>
          <t>Home Depot</t>
        </is>
      </c>
      <c r="M8" s="5" t="inlineStr">
        <is>
          <t>Pine MDF 5.25" primed baseboard</t>
        </is>
      </c>
      <c r="N8" s="5" t="inlineStr"/>
      <c r="O8" s="5" t="inlineStr">
        <is>
          <t>Confirmed</t>
        </is>
      </c>
      <c r="P8" s="5" t="inlineStr">
        <is>
          <t>medium</t>
        </is>
      </c>
      <c r="Q8" s="5" t="inlineStr">
        <is>
          <t>Mid 150 LF includes 10-15% waste/returns for corners | Per LF | Ціна збір: 2026-05-28</t>
        </is>
      </c>
    </row>
    <row r="9">
      <c r="A9" s="5" t="n">
        <v>5</v>
      </c>
      <c r="B9" s="5" t="inlineStr">
        <is>
          <t>Flooring</t>
        </is>
      </c>
      <c r="C9" s="5" t="inlineStr">
        <is>
          <t>Trim</t>
        </is>
      </c>
      <c r="D9" s="5" t="inlineStr">
        <is>
          <t>Quarter Round</t>
        </is>
      </c>
      <c r="E9" s="5" t="inlineStr">
        <is>
          <t>Shoe molding 3/4" pine primed</t>
        </is>
      </c>
      <c r="F9" s="5" t="inlineStr">
        <is>
          <t>linear ft</t>
        </is>
      </c>
      <c r="G9" s="27" t="n">
        <v>0</v>
      </c>
      <c r="H9" s="27" t="n">
        <v>100</v>
      </c>
      <c r="I9" s="27" t="n">
        <v>160</v>
      </c>
      <c r="J9" s="22" t="n">
        <v>0.55</v>
      </c>
      <c r="K9" s="22">
        <f>IF(OR(H9="",J9="",J9=0),"",H9*J9)</f>
        <v/>
      </c>
      <c r="L9" s="5" t="inlineStr">
        <is>
          <t>Home Depot</t>
        </is>
      </c>
      <c r="M9" s="5" t="inlineStr">
        <is>
          <t>Pine 3/4" shoe molding primed</t>
        </is>
      </c>
      <c r="N9" s="5" t="inlineStr"/>
      <c r="O9" s="5" t="inlineStr">
        <is>
          <t>TBD</t>
        </is>
      </c>
      <c r="P9" s="5" t="inlineStr">
        <is>
          <t>medium</t>
        </is>
      </c>
      <c r="Q9" s="5" t="inlineStr">
        <is>
          <t>Per LF | Ціна збір: 2026-05-28</t>
        </is>
      </c>
    </row>
    <row r="10">
      <c r="A10" s="5" t="n">
        <v>6</v>
      </c>
      <c r="B10" s="5" t="inlineStr">
        <is>
          <t>Flooring</t>
        </is>
      </c>
      <c r="C10" s="5" t="inlineStr">
        <is>
          <t>Moisture</t>
        </is>
      </c>
      <c r="D10" s="5" t="inlineStr">
        <is>
          <t>Vapor Barrier Sheet (Optional)</t>
        </is>
      </c>
      <c r="E10" s="5" t="inlineStr">
        <is>
          <t>6-mil poly під LVP — якщо LVP без attached</t>
        </is>
      </c>
      <c r="F10" s="5" t="inlineStr">
        <is>
          <t>sq ft</t>
        </is>
      </c>
      <c r="G10" s="27" t="n">
        <v>0</v>
      </c>
      <c r="H10" s="27" t="n">
        <v>0</v>
      </c>
      <c r="I10" s="27" t="n">
        <v>380</v>
      </c>
      <c r="J10" s="22" t="n">
        <v>0.1</v>
      </c>
      <c r="K10" s="22">
        <f>IF(OR(H10="",J10="",J10=0),"",H10*J10)</f>
        <v/>
      </c>
      <c r="L10" s="5" t="inlineStr">
        <is>
          <t>Home Depot</t>
        </is>
      </c>
      <c r="M10" s="5" t="inlineStr">
        <is>
          <t>Generic 6-mil poly vapor sheet</t>
        </is>
      </c>
      <c r="N10" s="5" t="inlineStr"/>
      <c r="O10" s="5" t="inlineStr">
        <is>
          <t>Optional</t>
        </is>
      </c>
      <c r="P10" s="5" t="inlineStr">
        <is>
          <t>medium</t>
        </is>
      </c>
      <c r="Q10" s="5" t="inlineStr">
        <is>
          <t>ДОДАНО: skip if LVP має attached vapor | ДОДАНО: only if LVP без attached vapor | Ціна збір: 2026-05-28</t>
        </is>
      </c>
    </row>
    <row r="11">
      <c r="A11" s="5" t="n">
        <v>7</v>
      </c>
      <c r="B11" s="5" t="inlineStr">
        <is>
          <t>Flooring</t>
        </is>
      </c>
      <c r="C11" s="5" t="inlineStr">
        <is>
          <t>Supplies</t>
        </is>
      </c>
      <c r="D11" s="5" t="inlineStr">
        <is>
          <t>Flooring Spacers</t>
        </is>
      </c>
      <c r="E11" s="5" t="inlineStr">
        <is>
          <t>1/4"-3/8" expansion gap</t>
        </is>
      </c>
      <c r="F11" s="5" t="inlineStr">
        <is>
          <t>pack</t>
        </is>
      </c>
      <c r="G11" s="27" t="n">
        <v>1</v>
      </c>
      <c r="H11" s="27" t="n">
        <v>1</v>
      </c>
      <c r="I11" s="27" t="n">
        <v>1</v>
      </c>
      <c r="J11" s="22" t="n">
        <v>5</v>
      </c>
      <c r="K11" s="22">
        <f>IF(OR(H11="",J11="",J11=0),"",H11*J11)</f>
        <v/>
      </c>
      <c r="L11" s="5" t="inlineStr">
        <is>
          <t>Home Depot</t>
        </is>
      </c>
      <c r="M11" s="5" t="inlineStr">
        <is>
          <t>Generic flooring spacers 1/4-3/8" pack</t>
        </is>
      </c>
      <c r="N11" s="5" t="inlineStr"/>
      <c r="O11" s="5" t="inlineStr">
        <is>
          <t>Confirmed</t>
        </is>
      </c>
      <c r="P11" s="5" t="inlineStr">
        <is>
          <t>medium</t>
        </is>
      </c>
      <c r="Q11" s="5" t="inlineStr">
        <is>
          <t>ДОДАНО | ДОДАНО | Ціна збір: 2026-05-28</t>
        </is>
      </c>
    </row>
    <row r="12">
      <c r="A12" s="5" t="n">
        <v>8</v>
      </c>
      <c r="B12" s="5" t="inlineStr">
        <is>
          <t>Flooring</t>
        </is>
      </c>
      <c r="C12" s="5" t="inlineStr">
        <is>
          <t>Supplies</t>
        </is>
      </c>
      <c r="D12" s="5" t="inlineStr">
        <is>
          <t>LVP Installation Kit</t>
        </is>
      </c>
      <c r="E12" s="5" t="inlineStr">
        <is>
          <t>Tapping block + pull bar + utility knife</t>
        </is>
      </c>
      <c r="F12" s="5" t="inlineStr">
        <is>
          <t>set</t>
        </is>
      </c>
      <c r="G12" s="27" t="n">
        <v>1</v>
      </c>
      <c r="H12" s="27" t="n">
        <v>1</v>
      </c>
      <c r="I12" s="27" t="n">
        <v>1</v>
      </c>
      <c r="J12" s="22" t="n">
        <v>20</v>
      </c>
      <c r="K12" s="22">
        <f>IF(OR(H12="",J12="",J12=0),"",H12*J12)</f>
        <v/>
      </c>
      <c r="L12" s="5" t="inlineStr">
        <is>
          <t>Home Depot</t>
        </is>
      </c>
      <c r="M12" s="5" t="inlineStr">
        <is>
          <t>Roberts LVP installation kit</t>
        </is>
      </c>
      <c r="N12" s="5" t="inlineStr"/>
      <c r="O12" s="5" t="inlineStr">
        <is>
          <t>Confirmed</t>
        </is>
      </c>
      <c r="P12" s="5" t="inlineStr">
        <is>
          <t>medium</t>
        </is>
      </c>
      <c r="Q12" s="5" t="inlineStr">
        <is>
          <t>ДОДАНО | ДОДАНО: tapping block + pull bar + utility knife | Ціна збір: 2026-05-28</t>
        </is>
      </c>
    </row>
    <row r="13">
      <c r="A13" s="5" t="n">
        <v>9</v>
      </c>
      <c r="B13" s="5" t="inlineStr">
        <is>
          <t>Flooring</t>
        </is>
      </c>
      <c r="C13" s="5" t="inlineStr">
        <is>
          <t>Sealants</t>
        </is>
      </c>
      <c r="D13" s="5" t="inlineStr">
        <is>
          <t>Floor Caulk</t>
        </is>
      </c>
      <c r="E13" s="5" t="inlineStr">
        <is>
          <t>Perimeter sealing</t>
        </is>
      </c>
      <c r="F13" s="5" t="inlineStr">
        <is>
          <t>tubes</t>
        </is>
      </c>
      <c r="G13" s="27" t="n">
        <v>2</v>
      </c>
      <c r="H13" s="27" t="n">
        <v>4</v>
      </c>
      <c r="I13" s="27" t="n">
        <v>6</v>
      </c>
      <c r="J13" s="22" t="n">
        <v>5</v>
      </c>
      <c r="K13" s="22">
        <f>IF(OR(H13="",J13="",J13=0),"",H13*J13)</f>
        <v/>
      </c>
      <c r="L13" s="5" t="inlineStr">
        <is>
          <t>Home Depot</t>
        </is>
      </c>
      <c r="M13" s="5" t="inlineStr">
        <is>
          <t>Generic floor caulk tube</t>
        </is>
      </c>
      <c r="N13" s="5" t="inlineStr"/>
      <c r="O13" s="5" t="inlineStr">
        <is>
          <t>Confirmed</t>
        </is>
      </c>
      <c r="P13" s="5" t="inlineStr">
        <is>
          <t>medium</t>
        </is>
      </c>
      <c r="Q13" s="5" t="inlineStr">
        <is>
          <t>ДОДАНО | ДОДАНО: perimeter sealing | Ціна збір: 2026-05-28</t>
        </is>
      </c>
    </row>
    <row r="14">
      <c r="A14" s="5" t="n">
        <v>10</v>
      </c>
      <c r="B14" s="5" t="inlineStr">
        <is>
          <t>Flooring</t>
        </is>
      </c>
      <c r="C14" s="5" t="inlineStr">
        <is>
          <t>Fasteners</t>
        </is>
      </c>
      <c r="D14" s="5" t="inlineStr">
        <is>
          <t>Finish Nails (18 ga brad)</t>
        </is>
      </c>
      <c r="E14" s="5" t="inlineStr">
        <is>
          <t>Baseboard + quarter round installation</t>
        </is>
      </c>
      <c r="F14" s="5" t="inlineStr">
        <is>
          <t>box</t>
        </is>
      </c>
      <c r="G14" s="27" t="n">
        <v>1</v>
      </c>
      <c r="H14" s="27" t="n">
        <v>1</v>
      </c>
      <c r="I14" s="27" t="n">
        <v>2</v>
      </c>
      <c r="J14" s="22" t="n">
        <v>15</v>
      </c>
      <c r="K14" s="22">
        <f>IF(OR(H14="",J14="",J14=0),"",H14*J14)</f>
        <v/>
      </c>
      <c r="L14" s="5" t="inlineStr">
        <is>
          <t>Home Depot</t>
        </is>
      </c>
      <c r="M14" s="5" t="inlineStr">
        <is>
          <t>Generic 18-gauge brad nails box</t>
        </is>
      </c>
      <c r="N14" s="5" t="inlineStr"/>
      <c r="O14" s="5" t="inlineStr">
        <is>
          <t>Confirmed</t>
        </is>
      </c>
      <c r="P14" s="5" t="inlineStr">
        <is>
          <t>medium</t>
        </is>
      </c>
      <c r="Q14" s="5" t="inlineStr">
        <is>
          <t>ДОДАНО | ДОДАНО | Ціна збір: 2026-05-28</t>
        </is>
      </c>
    </row>
    <row r="15">
      <c r="A15" s="5" t="n">
        <v>11</v>
      </c>
      <c r="B15" s="5" t="inlineStr">
        <is>
          <t>Flooring</t>
        </is>
      </c>
      <c r="C15" s="5" t="inlineStr">
        <is>
          <t>Adjustment</t>
        </is>
      </c>
      <c r="D15" s="5" t="inlineStr">
        <is>
          <t>Door Undercut Allowance</t>
        </is>
      </c>
      <c r="E15" s="5" t="inlineStr">
        <is>
          <t>Якщо doors торкаються нового flooring</t>
        </is>
      </c>
      <c r="F15" s="5" t="inlineStr">
        <is>
          <t>allowance</t>
        </is>
      </c>
      <c r="G15" s="27" t="n">
        <v>0</v>
      </c>
      <c r="H15" s="27" t="n">
        <v>1</v>
      </c>
      <c r="I15" s="27" t="n">
        <v>1</v>
      </c>
      <c r="J15" s="22" t="n">
        <v>20</v>
      </c>
      <c r="K15" s="22">
        <f>IF(OR(H15="",J15="",J15=0),"",H15*J15)</f>
        <v/>
      </c>
      <c r="L15" s="5" t="inlineStr">
        <is>
          <t>Home Depot / service</t>
        </is>
      </c>
      <c r="M15" s="5" t="inlineStr">
        <is>
          <t>Door undercut allowance (saw rental or service)</t>
        </is>
      </c>
      <c r="N15" s="5" t="inlineStr"/>
      <c r="O15" s="5" t="inlineStr">
        <is>
          <t>TBD</t>
        </is>
      </c>
      <c r="P15" s="5" t="inlineStr">
        <is>
          <t>medium</t>
        </is>
      </c>
      <c r="Q15" s="5" t="inlineStr">
        <is>
          <t>ДОДАНО | ДОДАНО | Ціна збір: 2026-05-28</t>
        </is>
      </c>
    </row>
    <row r="16">
      <c r="A16" s="5" t="n">
        <v>12</v>
      </c>
      <c r="B16" s="5" t="inlineStr">
        <is>
          <t>Flooring</t>
        </is>
      </c>
      <c r="C16" s="5" t="inlineStr">
        <is>
          <t>Slab Prep</t>
        </is>
      </c>
      <c r="D16" s="5" t="inlineStr">
        <is>
          <t>Self-leveler Patch (Optional)</t>
        </is>
      </c>
      <c r="E16" s="5" t="inlineStr">
        <is>
          <t>Final subfloor touchups</t>
        </is>
      </c>
      <c r="F16" s="5" t="inlineStr">
        <is>
          <t>bag</t>
        </is>
      </c>
      <c r="G16" s="27" t="n">
        <v>0</v>
      </c>
      <c r="H16" s="27" t="n">
        <v>0</v>
      </c>
      <c r="I16" s="27" t="n">
        <v>2</v>
      </c>
      <c r="J16" s="22" t="n">
        <v>25</v>
      </c>
      <c r="K16" s="22">
        <f>IF(OR(H16="",J16="",J16=0),"",H16*J16)</f>
        <v/>
      </c>
      <c r="L16" s="5" t="inlineStr">
        <is>
          <t>Home Depot</t>
        </is>
      </c>
      <c r="M16" s="5" t="inlineStr">
        <is>
          <t>Mapei Planipatch 25 lb (Optional)</t>
        </is>
      </c>
      <c r="N16" s="5" t="inlineStr"/>
      <c r="O16" s="5" t="inlineStr">
        <is>
          <t>Optional</t>
        </is>
      </c>
      <c r="P16" s="5" t="inlineStr">
        <is>
          <t>medium</t>
        </is>
      </c>
      <c r="Q16" s="5" t="inlineStr">
        <is>
          <t>ДОДАНО: small allowance, cross-ref Phase 2 r19 | ДОДАНО: small allowance. Cross-ref Phase 2 r19 | Ціна збір: 2026-05-28</t>
        </is>
      </c>
    </row>
    <row r="17">
      <c r="A17" s="5" t="n">
        <v>13</v>
      </c>
      <c r="B17" s="5" t="inlineStr">
        <is>
          <t>Flooring</t>
        </is>
      </c>
      <c r="C17" s="5" t="inlineStr">
        <is>
          <t>Trim</t>
        </is>
      </c>
      <c r="D17" s="5" t="inlineStr">
        <is>
          <t>Bathroom Reducer / Transition Allowance</t>
        </is>
      </c>
      <c r="E17" s="5" t="inlineStr">
        <is>
          <t>Якщо bathroom flooring відрізняється або є height diff</t>
        </is>
      </c>
      <c r="F17" s="5" t="inlineStr">
        <is>
          <t>pcs</t>
        </is>
      </c>
      <c r="G17" s="27" t="n">
        <v>0</v>
      </c>
      <c r="H17" s="27" t="n">
        <v>1</v>
      </c>
      <c r="I17" s="27" t="n">
        <v>2</v>
      </c>
      <c r="J17" s="22" t="n">
        <v>25</v>
      </c>
      <c r="K17" s="22">
        <f>IF(OR(H17="",J17="",J17=0),"",H17*J17)</f>
        <v/>
      </c>
      <c r="L17" s="5" t="inlineStr">
        <is>
          <t>Home Depot</t>
        </is>
      </c>
      <c r="M17" s="5" t="inlineStr">
        <is>
          <t>Generic bathroom reducer / transition</t>
        </is>
      </c>
      <c r="N17" s="5" t="inlineStr"/>
      <c r="O17" s="5" t="inlineStr">
        <is>
          <t>TBD</t>
        </is>
      </c>
      <c r="P17" s="5" t="inlineStr">
        <is>
          <t>medium</t>
        </is>
      </c>
      <c r="Q17" s="5" t="inlineStr">
        <is>
          <t>ДОДАНО (review) | ДОДАНО (review): per piece | Ціна збір: 2026-05-28</t>
        </is>
      </c>
    </row>
    <row r="18">
      <c r="A18" s="5" t="n">
        <v>14</v>
      </c>
      <c r="B18" s="5" t="inlineStr">
        <is>
          <t>Flooring</t>
        </is>
      </c>
      <c r="C18" s="5" t="inlineStr">
        <is>
          <t>Trim</t>
        </is>
      </c>
      <c r="D18" s="5" t="inlineStr">
        <is>
          <t>Stair Nosing / Step Trim</t>
        </is>
      </c>
      <c r="E18" s="5" t="inlineStr">
        <is>
          <t>Через raised floor 10" — step at entry/French</t>
        </is>
      </c>
      <c r="F18" s="5" t="inlineStr">
        <is>
          <t>pcs</t>
        </is>
      </c>
      <c r="G18" s="27" t="n">
        <v>0</v>
      </c>
      <c r="H18" s="27" t="n">
        <v>1</v>
      </c>
      <c r="I18" s="27" t="n">
        <v>2</v>
      </c>
      <c r="J18" s="22" t="n">
        <v>40</v>
      </c>
      <c r="K18" s="22">
        <f>IF(OR(H18="",J18="",J18=0),"",H18*J18)</f>
        <v/>
      </c>
      <c r="L18" s="5" t="inlineStr">
        <is>
          <t>Home Depot</t>
        </is>
      </c>
      <c r="M18" s="5" t="inlineStr">
        <is>
          <t>Generic LVP stair nosing / step nose</t>
        </is>
      </c>
      <c r="N18" s="5" t="inlineStr"/>
      <c r="O18" s="5" t="inlineStr">
        <is>
          <t>TBD</t>
        </is>
      </c>
      <c r="P18" s="5" t="inlineStr">
        <is>
          <t>medium</t>
        </is>
      </c>
      <c r="Q18" s="5" t="inlineStr">
        <is>
          <t>ДОДАНО (review): verify step condition | ДОДАНО (review): через 10" raised floor step | Ціна збір: 2026-05-28</t>
        </is>
      </c>
    </row>
    <row r="20">
      <c r="A20" s="8" t="n"/>
      <c r="B20" s="8" t="n"/>
      <c r="C20" s="9" t="inlineStr">
        <is>
          <t>ПІДСУМОК ФАЗИ</t>
        </is>
      </c>
      <c r="D20" s="8" t="n"/>
      <c r="E20" s="8" t="n"/>
      <c r="F20" s="8" t="n"/>
      <c r="G20" s="8" t="n"/>
      <c r="H20" s="8" t="n"/>
      <c r="I20" s="8" t="n"/>
      <c r="J20" s="8" t="n"/>
      <c r="K20" s="24">
        <f>SUM(K5:K18)</f>
        <v/>
      </c>
      <c r="L20" s="8" t="n"/>
      <c r="M20" s="8" t="n"/>
      <c r="N20" s="8" t="n"/>
      <c r="O20" s="8" t="n"/>
      <c r="P20" s="8" t="n"/>
      <c r="Q20" s="8" t="n"/>
    </row>
  </sheetData>
  <autoFilter ref="A4:Q18"/>
  <mergeCells count="2">
    <mergeCell ref="A2:Q2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12 — Kitchen Cabinets &amp; Countertop (§11)</t>
        </is>
      </c>
    </row>
    <row r="2" ht="18" customHeight="1">
      <c r="A2" s="3" t="inlineStr">
        <is>
          <t>IKEA SEKTION one-wall + countertop + sink/faucet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Cabinetry</t>
        </is>
      </c>
      <c r="C5" s="5" t="inlineStr">
        <is>
          <t>Cabinets</t>
        </is>
      </c>
      <c r="D5" s="5" t="inlineStr">
        <is>
          <t>Base Cabinets</t>
        </is>
      </c>
      <c r="E5" s="5" t="inlineStr">
        <is>
          <t>IKEA SEKTION carcass 24" deep</t>
        </is>
      </c>
      <c r="F5" s="5" t="inlineStr">
        <is>
          <t>linear ft</t>
        </is>
      </c>
      <c r="G5" s="27" t="n">
        <v>8</v>
      </c>
      <c r="H5" s="27" t="n">
        <v>8.5</v>
      </c>
      <c r="I5" s="27" t="n">
        <v>9</v>
      </c>
      <c r="J5" s="22" t="n">
        <v>50</v>
      </c>
      <c r="K5" s="22">
        <f>IF(OR(H5="",J5="",J5=0),"",H5*J5)</f>
        <v/>
      </c>
      <c r="L5" s="5" t="inlineStr">
        <is>
          <t>IKEA</t>
        </is>
      </c>
      <c r="M5" s="5" t="inlineStr">
        <is>
          <t>IKEA SEKTION base cabinet 24" deep</t>
        </is>
      </c>
      <c r="N5" s="5" t="inlineStr">
        <is>
          <t>https://www.ikea.com/us/en/cat/base-cabinets-frame-height-23607/</t>
        </is>
      </c>
      <c r="O5" s="5" t="inlineStr">
        <is>
          <t>Confirmed</t>
        </is>
      </c>
      <c r="P5" s="5" t="inlineStr">
        <is>
          <t>medium</t>
        </is>
      </c>
      <c r="Q5" s="5" t="inlineStr">
        <is>
          <t>One-wall kitchen | Per LF carcass ~$50/LF (3 cabinets × $100-130 / 8.5 LF) | Ціна збір: 2026-05-28</t>
        </is>
      </c>
    </row>
    <row r="6">
      <c r="A6" s="5" t="n">
        <v>2</v>
      </c>
      <c r="B6" s="5" t="inlineStr">
        <is>
          <t>Cabinetry</t>
        </is>
      </c>
      <c r="C6" s="5" t="inlineStr">
        <is>
          <t>Cabinets</t>
        </is>
      </c>
      <c r="D6" s="5" t="inlineStr">
        <is>
          <t>Wall Cabinets</t>
        </is>
      </c>
      <c r="E6" s="5" t="inlineStr">
        <is>
          <t>IKEA SEKTION 15" deep</t>
        </is>
      </c>
      <c r="F6" s="5" t="inlineStr">
        <is>
          <t>linear ft</t>
        </is>
      </c>
      <c r="G6" s="27" t="n">
        <v>8</v>
      </c>
      <c r="H6" s="27" t="n">
        <v>8.5</v>
      </c>
      <c r="I6" s="27" t="n">
        <v>9</v>
      </c>
      <c r="J6" s="22" t="n">
        <v>35</v>
      </c>
      <c r="K6" s="22">
        <f>IF(OR(H6="",J6="",J6=0),"",H6*J6)</f>
        <v/>
      </c>
      <c r="L6" s="5" t="inlineStr">
        <is>
          <t>IKEA</t>
        </is>
      </c>
      <c r="M6" s="5" t="inlineStr">
        <is>
          <t>IKEA SEKTION wall cabinet 15" deep</t>
        </is>
      </c>
      <c r="N6" s="5" t="inlineStr">
        <is>
          <t>https://www.ikea.com/us/en/p/sektion-wall-cabinet-white-70265469/</t>
        </is>
      </c>
      <c r="O6" s="5" t="inlineStr">
        <is>
          <t>Confirmed</t>
        </is>
      </c>
      <c r="P6" s="5" t="inlineStr">
        <is>
          <t>high</t>
        </is>
      </c>
      <c r="Q6" s="5" t="inlineStr">
        <is>
          <t>Per LF ($78 SEKTION 30" wide / 2.5 LF = $31/LF). Mid $35 | Ціна збір: 2026-05-28</t>
        </is>
      </c>
    </row>
    <row r="7">
      <c r="A7" s="5" t="n">
        <v>3</v>
      </c>
      <c r="B7" s="5" t="inlineStr">
        <is>
          <t>Cabinetry</t>
        </is>
      </c>
      <c r="C7" s="5" t="inlineStr">
        <is>
          <t>Cabinets</t>
        </is>
      </c>
      <c r="D7" s="5" t="inlineStr">
        <is>
          <t>Tall / Pantry Cabinet</t>
        </is>
      </c>
      <c r="E7" s="5" t="inlineStr">
        <is>
          <t>SEKTION 24" wide × 80" tall</t>
        </is>
      </c>
      <c r="F7" s="5" t="inlineStr">
        <is>
          <t>pcs</t>
        </is>
      </c>
      <c r="G7" s="27" t="n">
        <v>0</v>
      </c>
      <c r="H7" s="27" t="n">
        <v>1</v>
      </c>
      <c r="I7" s="27" t="n">
        <v>1</v>
      </c>
      <c r="J7" s="22" t="n">
        <v>200</v>
      </c>
      <c r="K7" s="22">
        <f>IF(OR(H7="",J7="",J7=0),"",H7*J7)</f>
        <v/>
      </c>
      <c r="L7" s="5" t="inlineStr">
        <is>
          <t>IKEA</t>
        </is>
      </c>
      <c r="M7" s="5" t="inlineStr">
        <is>
          <t>IKEA SEKTION tall pantry 24"x80"</t>
        </is>
      </c>
      <c r="N7" s="5" t="inlineStr"/>
      <c r="O7" s="5" t="inlineStr">
        <is>
          <t>TBD</t>
        </is>
      </c>
      <c r="P7" s="5" t="inlineStr">
        <is>
          <t>medium</t>
        </is>
      </c>
      <c r="Q7" s="5" t="inlineStr">
        <is>
          <t>Carcass пантри cabinet | Ціна збір: 2026-05-28</t>
        </is>
      </c>
    </row>
    <row r="8">
      <c r="A8" s="5" t="n">
        <v>4</v>
      </c>
      <c r="B8" s="5" t="inlineStr">
        <is>
          <t>Cabinetry</t>
        </is>
      </c>
      <c r="C8" s="5" t="inlineStr">
        <is>
          <t>Cabinets</t>
        </is>
      </c>
      <c r="D8" s="5" t="inlineStr">
        <is>
          <t>Cabinet Doors</t>
        </is>
      </c>
      <c r="E8" s="5" t="inlineStr">
        <is>
          <t>SEKTION + AXSTAD або alternative front style</t>
        </is>
      </c>
      <c r="F8" s="5" t="inlineStr">
        <is>
          <t>set</t>
        </is>
      </c>
      <c r="G8" s="27" t="n">
        <v>1</v>
      </c>
      <c r="H8" s="27" t="n">
        <v>1</v>
      </c>
      <c r="I8" s="27" t="n">
        <v>1</v>
      </c>
      <c r="J8" s="22" t="n">
        <v>400</v>
      </c>
      <c r="K8" s="22">
        <f>IF(OR(H8="",J8="",J8=0),"",H8*J8)</f>
        <v/>
      </c>
      <c r="L8" s="5" t="inlineStr">
        <is>
          <t>IKEA</t>
        </is>
      </c>
      <c r="M8" s="5" t="inlineStr">
        <is>
          <t>IKEA METOD/AXSTAD doors set (mix)</t>
        </is>
      </c>
      <c r="N8" s="5" t="inlineStr"/>
      <c r="O8" s="5" t="inlineStr">
        <is>
          <t>TBD</t>
        </is>
      </c>
      <c r="P8" s="5" t="inlineStr">
        <is>
          <t>medium</t>
        </is>
      </c>
      <c r="Q8" s="5" t="inlineStr">
        <is>
          <t>US naming: SEKTION system. Front style — AXSTAD/VOXTORP/etc | 6-7 doors mix sizes | Ціна збір: 2026-05-28</t>
        </is>
      </c>
    </row>
    <row r="9">
      <c r="A9" s="5" t="n">
        <v>5</v>
      </c>
      <c r="B9" s="5" t="inlineStr">
        <is>
          <t>Cabinetry</t>
        </is>
      </c>
      <c r="C9" s="5" t="inlineStr">
        <is>
          <t>Cabinets</t>
        </is>
      </c>
      <c r="D9" s="5" t="inlineStr">
        <is>
          <t>Drawer Fronts</t>
        </is>
      </c>
      <c r="E9" s="5" t="inlineStr">
        <is>
          <t>Mix sizes per IKEA planner</t>
        </is>
      </c>
      <c r="F9" s="5" t="inlineStr">
        <is>
          <t>set</t>
        </is>
      </c>
      <c r="G9" s="27" t="n">
        <v>1</v>
      </c>
      <c r="H9" s="27" t="n">
        <v>1</v>
      </c>
      <c r="I9" s="27" t="n">
        <v>1</v>
      </c>
      <c r="J9" s="22" t="n">
        <v>240</v>
      </c>
      <c r="K9" s="22">
        <f>IF(OR(H9="",J9="",J9=0),"",H9*J9)</f>
        <v/>
      </c>
      <c r="L9" s="5" t="inlineStr">
        <is>
          <t>IKEA</t>
        </is>
      </c>
      <c r="M9" s="5" t="inlineStr">
        <is>
          <t>IKEA drawer fronts set</t>
        </is>
      </c>
      <c r="N9" s="5" t="inlineStr"/>
      <c r="O9" s="5" t="inlineStr">
        <is>
          <t>TBD</t>
        </is>
      </c>
      <c r="P9" s="5" t="inlineStr">
        <is>
          <t>medium</t>
        </is>
      </c>
      <c r="Q9" s="5" t="inlineStr">
        <is>
          <t>6 drawers | Ціна збір: 2026-05-28</t>
        </is>
      </c>
    </row>
    <row r="10">
      <c r="A10" s="5" t="n">
        <v>6</v>
      </c>
      <c r="B10" s="5" t="inlineStr">
        <is>
          <t>Cabinetry</t>
        </is>
      </c>
      <c r="C10" s="5" t="inlineStr">
        <is>
          <t>Cabinets</t>
        </is>
      </c>
      <c r="D10" s="5" t="inlineStr">
        <is>
          <t>Hinges</t>
        </is>
      </c>
      <c r="E10" s="5" t="inlineStr">
        <is>
          <t>Soft-close hinges (UTRUSTA)</t>
        </is>
      </c>
      <c r="F10" s="5" t="inlineStr">
        <is>
          <t>pack</t>
        </is>
      </c>
      <c r="G10" s="27" t="n">
        <v>1</v>
      </c>
      <c r="H10" s="27" t="n">
        <v>1</v>
      </c>
      <c r="I10" s="27" t="n">
        <v>1</v>
      </c>
      <c r="J10" s="22" t="n">
        <v>40</v>
      </c>
      <c r="K10" s="22">
        <f>IF(OR(H10="",J10="",J10=0),"",H10*J10)</f>
        <v/>
      </c>
      <c r="L10" s="5" t="inlineStr">
        <is>
          <t>IKEA</t>
        </is>
      </c>
      <c r="M10" s="5" t="inlineStr">
        <is>
          <t>IKEA UTRUSTA soft-close hinges pack</t>
        </is>
      </c>
      <c r="N10" s="5" t="inlineStr"/>
      <c r="O10" s="5" t="inlineStr">
        <is>
          <t>TBD</t>
        </is>
      </c>
      <c r="P10" s="5" t="inlineStr">
        <is>
          <t>medium</t>
        </is>
      </c>
      <c r="Q10" s="5" t="inlineStr">
        <is>
          <t xml:space="preserve"> | Ціна збір: 2026-05-28</t>
        </is>
      </c>
    </row>
    <row r="11">
      <c r="A11" s="5" t="n">
        <v>7</v>
      </c>
      <c r="B11" s="5" t="inlineStr">
        <is>
          <t>Cabinetry</t>
        </is>
      </c>
      <c r="C11" s="5" t="inlineStr">
        <is>
          <t>Cabinets</t>
        </is>
      </c>
      <c r="D11" s="5" t="inlineStr">
        <is>
          <t>Drawer Slides</t>
        </is>
      </c>
      <c r="E11" s="5" t="inlineStr">
        <is>
          <t>Soft-close runners (MAXIMERA)</t>
        </is>
      </c>
      <c r="F11" s="5" t="inlineStr">
        <is>
          <t>set</t>
        </is>
      </c>
      <c r="G11" s="27" t="n">
        <v>1</v>
      </c>
      <c r="H11" s="27" t="n">
        <v>1</v>
      </c>
      <c r="I11" s="27" t="n">
        <v>1</v>
      </c>
      <c r="J11" s="22" t="n">
        <v>40</v>
      </c>
      <c r="K11" s="22">
        <f>IF(OR(H11="",J11="",J11=0),"",H11*J11)</f>
        <v/>
      </c>
      <c r="L11" s="5" t="inlineStr">
        <is>
          <t>IKEA</t>
        </is>
      </c>
      <c r="M11" s="5" t="inlineStr">
        <is>
          <t>IKEA MAXIMERA soft-close drawer runners set</t>
        </is>
      </c>
      <c r="N11" s="5" t="inlineStr"/>
      <c r="O11" s="5" t="inlineStr">
        <is>
          <t>TBD</t>
        </is>
      </c>
      <c r="P11" s="5" t="inlineStr">
        <is>
          <t>medium</t>
        </is>
      </c>
      <c r="Q11" s="5" t="inlineStr">
        <is>
          <t xml:space="preserve"> | Ціна збір: 2026-05-28</t>
        </is>
      </c>
    </row>
    <row r="12">
      <c r="A12" s="5" t="n">
        <v>8</v>
      </c>
      <c r="B12" s="5" t="inlineStr">
        <is>
          <t>Cabinetry</t>
        </is>
      </c>
      <c r="C12" s="5" t="inlineStr">
        <is>
          <t>Cabinets</t>
        </is>
      </c>
      <c r="D12" s="5" t="inlineStr">
        <is>
          <t>Cabinet Legs</t>
        </is>
      </c>
      <c r="E12" s="5" t="inlineStr">
        <is>
          <t>Adjustable leveling legs</t>
        </is>
      </c>
      <c r="F12" s="5" t="inlineStr">
        <is>
          <t>set</t>
        </is>
      </c>
      <c r="G12" s="27" t="n">
        <v>1</v>
      </c>
      <c r="H12" s="27" t="n">
        <v>1</v>
      </c>
      <c r="I12" s="27" t="n">
        <v>1</v>
      </c>
      <c r="J12" s="22" t="n">
        <v>25</v>
      </c>
      <c r="K12" s="22">
        <f>IF(OR(H12="",J12="",J12=0),"",H12*J12)</f>
        <v/>
      </c>
      <c r="L12" s="5" t="inlineStr">
        <is>
          <t>IKEA</t>
        </is>
      </c>
      <c r="M12" s="5" t="inlineStr">
        <is>
          <t>IKEA adjustable leveling legs set</t>
        </is>
      </c>
      <c r="N12" s="5" t="inlineStr"/>
      <c r="O12" s="5" t="inlineStr">
        <is>
          <t>TBD</t>
        </is>
      </c>
      <c r="P12" s="5" t="inlineStr">
        <is>
          <t>medium</t>
        </is>
      </c>
      <c r="Q12" s="5" t="inlineStr">
        <is>
          <t xml:space="preserve"> | Ціна збір: 2026-05-28</t>
        </is>
      </c>
    </row>
    <row r="13">
      <c r="A13" s="5" t="n">
        <v>9</v>
      </c>
      <c r="B13" s="5" t="inlineStr">
        <is>
          <t>Cabinetry</t>
        </is>
      </c>
      <c r="C13" s="5" t="inlineStr">
        <is>
          <t>Cabinets</t>
        </is>
      </c>
      <c r="D13" s="5" t="inlineStr">
        <is>
          <t>Toe-kick</t>
        </is>
      </c>
      <c r="E13" s="5" t="inlineStr">
        <is>
          <t>FÖRBÄTTRA toe-kick</t>
        </is>
      </c>
      <c r="F13" s="5" t="inlineStr">
        <is>
          <t>linear ft</t>
        </is>
      </c>
      <c r="G13" s="27" t="n">
        <v>8</v>
      </c>
      <c r="H13" s="27" t="n">
        <v>9</v>
      </c>
      <c r="I13" s="27" t="n">
        <v>10</v>
      </c>
      <c r="J13" s="22" t="n">
        <v>4</v>
      </c>
      <c r="K13" s="22">
        <f>IF(OR(H13="",J13="",J13=0),"",H13*J13)</f>
        <v/>
      </c>
      <c r="L13" s="5" t="inlineStr">
        <is>
          <t>IKEA</t>
        </is>
      </c>
      <c r="M13" s="5" t="inlineStr">
        <is>
          <t>IKEA FÖRBÄTTRA toe-kick per LF</t>
        </is>
      </c>
      <c r="N13" s="5" t="inlineStr"/>
      <c r="O13" s="5" t="inlineStr">
        <is>
          <t>TBD</t>
        </is>
      </c>
      <c r="P13" s="5" t="inlineStr">
        <is>
          <t>medium</t>
        </is>
      </c>
      <c r="Q13" s="5" t="inlineStr">
        <is>
          <t xml:space="preserve"> | Ціна збір: 2026-05-28</t>
        </is>
      </c>
    </row>
    <row r="14">
      <c r="A14" s="5" t="n">
        <v>10</v>
      </c>
      <c r="B14" s="5" t="inlineStr">
        <is>
          <t>Cabinetry</t>
        </is>
      </c>
      <c r="C14" s="5" t="inlineStr">
        <is>
          <t>Cabinets</t>
        </is>
      </c>
      <c r="D14" s="5" t="inlineStr">
        <is>
          <t>Cover Panels</t>
        </is>
      </c>
      <c r="E14" s="5" t="inlineStr">
        <is>
          <t>FÖRBÄTTRA cover panels</t>
        </is>
      </c>
      <c r="F14" s="5" t="inlineStr">
        <is>
          <t>set</t>
        </is>
      </c>
      <c r="G14" s="27" t="n">
        <v>1</v>
      </c>
      <c r="H14" s="27" t="n">
        <v>1</v>
      </c>
      <c r="I14" s="27" t="n">
        <v>1</v>
      </c>
      <c r="J14" s="22" t="n">
        <v>80</v>
      </c>
      <c r="K14" s="22">
        <f>IF(OR(H14="",J14="",J14=0),"",H14*J14)</f>
        <v/>
      </c>
      <c r="L14" s="5" t="inlineStr">
        <is>
          <t>IKEA</t>
        </is>
      </c>
      <c r="M14" s="5" t="inlineStr">
        <is>
          <t>IKEA FÖRBÄTTRA cover panels set</t>
        </is>
      </c>
      <c r="N14" s="5" t="inlineStr"/>
      <c r="O14" s="5" t="inlineStr">
        <is>
          <t>TBD</t>
        </is>
      </c>
      <c r="P14" s="5" t="inlineStr">
        <is>
          <t>medium</t>
        </is>
      </c>
      <c r="Q14" s="5" t="inlineStr">
        <is>
          <t xml:space="preserve"> | Ціна збір: 2026-05-28</t>
        </is>
      </c>
    </row>
    <row r="15">
      <c r="A15" s="5" t="n">
        <v>11</v>
      </c>
      <c r="B15" s="5" t="inlineStr">
        <is>
          <t>Cabinetry</t>
        </is>
      </c>
      <c r="C15" s="5" t="inlineStr">
        <is>
          <t>Cabinets</t>
        </is>
      </c>
      <c r="D15" s="5" t="inlineStr">
        <is>
          <t>Filler Panels</t>
        </is>
      </c>
      <c r="E15" s="5" t="inlineStr">
        <is>
          <t>FÖRBÄTTRA filler panels</t>
        </is>
      </c>
      <c r="F15" s="5" t="inlineStr">
        <is>
          <t>set</t>
        </is>
      </c>
      <c r="G15" s="27" t="n">
        <v>1</v>
      </c>
      <c r="H15" s="27" t="n">
        <v>1</v>
      </c>
      <c r="I15" s="27" t="n">
        <v>1</v>
      </c>
      <c r="J15" s="22" t="n">
        <v>50</v>
      </c>
      <c r="K15" s="22">
        <f>IF(OR(H15="",J15="",J15=0),"",H15*J15)</f>
        <v/>
      </c>
      <c r="L15" s="5" t="inlineStr">
        <is>
          <t>IKEA</t>
        </is>
      </c>
      <c r="M15" s="5" t="inlineStr">
        <is>
          <t>IKEA FÖRBÄTTRA filler panels set</t>
        </is>
      </c>
      <c r="N15" s="5" t="inlineStr"/>
      <c r="O15" s="5" t="inlineStr">
        <is>
          <t>TBD</t>
        </is>
      </c>
      <c r="P15" s="5" t="inlineStr">
        <is>
          <t>medium</t>
        </is>
      </c>
      <c r="Q15" s="5" t="inlineStr">
        <is>
          <t xml:space="preserve"> | Ціна збір: 2026-05-28</t>
        </is>
      </c>
    </row>
    <row r="16">
      <c r="A16" s="5" t="n">
        <v>12</v>
      </c>
      <c r="B16" s="5" t="inlineStr">
        <is>
          <t>Cabinetry</t>
        </is>
      </c>
      <c r="C16" s="5" t="inlineStr">
        <is>
          <t>Countertop</t>
        </is>
      </c>
      <c r="D16" s="5" t="inlineStr">
        <is>
          <t>Countertop</t>
        </is>
      </c>
      <c r="E16" s="5" t="inlineStr">
        <is>
          <t>KARLBY butcher block (BASELINE). Alt: EKBACKEN laminate (~$14/LF budget)</t>
        </is>
      </c>
      <c r="F16" s="5" t="inlineStr">
        <is>
          <t>linear ft</t>
        </is>
      </c>
      <c r="G16" s="27" t="n">
        <v>9</v>
      </c>
      <c r="H16" s="27" t="n">
        <v>9.5</v>
      </c>
      <c r="I16" s="27" t="n">
        <v>10</v>
      </c>
      <c r="J16" s="22" t="n">
        <v>26</v>
      </c>
      <c r="K16" s="22">
        <f>IF(OR(H16="",J16="",J16=0),"",H16*J16)</f>
        <v/>
      </c>
      <c r="L16" s="5" t="inlineStr">
        <is>
          <t>IKEA</t>
        </is>
      </c>
      <c r="M16" s="5" t="inlineStr">
        <is>
          <t>IKEA KARLBY butcher block 9.5 LF</t>
        </is>
      </c>
      <c r="N16" s="5" t="inlineStr">
        <is>
          <t>https://www.ikea.com/us/en/cat/countertops-10653/</t>
        </is>
      </c>
      <c r="O16" s="5" t="inlineStr">
        <is>
          <t>TBD</t>
        </is>
      </c>
      <c r="P16" s="5" t="inlineStr">
        <is>
          <t>medium</t>
        </is>
      </c>
      <c r="Q16" s="5" t="inlineStr">
        <is>
          <t>Choose ONE material — not both. Final cabinet+countertop price via IKEA Kitchen Planner | Per LF. ~$250 for 9.5 LF. EKBACKEN laminate cheaper ~$14/LF | Ціна збір: 2026-05-28</t>
        </is>
      </c>
    </row>
    <row r="17">
      <c r="A17" s="5" t="n">
        <v>13</v>
      </c>
      <c r="B17" s="5" t="inlineStr">
        <is>
          <t>Cabinetry</t>
        </is>
      </c>
      <c r="C17" s="5" t="inlineStr">
        <is>
          <t>Backsplash</t>
        </is>
      </c>
      <c r="D17" s="5" t="inlineStr">
        <is>
          <t>Backsplash Tile</t>
        </is>
      </c>
      <c r="E17" s="5" t="inlineStr">
        <is>
          <t>Subway tile 3x6 ceramic — або mosaic</t>
        </is>
      </c>
      <c r="F17" s="5" t="inlineStr">
        <is>
          <t>sq ft</t>
        </is>
      </c>
      <c r="G17" s="27" t="n">
        <v>25</v>
      </c>
      <c r="H17" s="27" t="n">
        <v>30</v>
      </c>
      <c r="I17" s="27" t="n">
        <v>35</v>
      </c>
      <c r="J17" s="22" t="n">
        <v>4</v>
      </c>
      <c r="K17" s="22">
        <f>IF(OR(H17="",J17="",J17=0),"",H17*J17)</f>
        <v/>
      </c>
      <c r="L17" s="5" t="inlineStr">
        <is>
          <t>Home Depot</t>
        </is>
      </c>
      <c r="M17" s="5" t="inlineStr">
        <is>
          <t>Generic ceramic subway 3x6 white</t>
        </is>
      </c>
      <c r="N17" s="5" t="inlineStr"/>
      <c r="O17" s="5" t="inlineStr">
        <is>
          <t>TBD</t>
        </is>
      </c>
      <c r="P17" s="5" t="inlineStr">
        <is>
          <t>medium</t>
        </is>
      </c>
      <c r="Q17" s="5" t="inlineStr">
        <is>
          <t>Per sf. $4/sf retail | Ціна збір: 2026-05-28</t>
        </is>
      </c>
    </row>
    <row r="18">
      <c r="A18" s="5" t="n">
        <v>14</v>
      </c>
      <c r="B18" s="5" t="inlineStr">
        <is>
          <t>Cabinetry</t>
        </is>
      </c>
      <c r="C18" s="5" t="inlineStr">
        <is>
          <t>Fixtures</t>
        </is>
      </c>
      <c r="D18" s="5" t="inlineStr">
        <is>
          <t>Kitchen Sink</t>
        </is>
      </c>
      <c r="E18" s="5" t="inlineStr">
        <is>
          <t>HILLESJÖN single bowl 25" SS drop-in</t>
        </is>
      </c>
      <c r="F18" s="5" t="inlineStr">
        <is>
          <t>pcs</t>
        </is>
      </c>
      <c r="G18" s="27" t="n">
        <v>1</v>
      </c>
      <c r="H18" s="27" t="n">
        <v>1</v>
      </c>
      <c r="I18" s="27" t="n">
        <v>1</v>
      </c>
      <c r="J18" s="22" t="n">
        <v>175</v>
      </c>
      <c r="K18" s="22">
        <f>IF(OR(H18="",J18="",J18=0),"",H18*J18)</f>
        <v/>
      </c>
      <c r="L18" s="5" t="inlineStr">
        <is>
          <t>IKEA / Home Depot</t>
        </is>
      </c>
      <c r="M18" s="5" t="inlineStr">
        <is>
          <t>IKEA HILLESJÖN 25" SS single bowl drop-in</t>
        </is>
      </c>
      <c r="N18" s="5" t="inlineStr"/>
      <c r="O18" s="5" t="inlineStr">
        <is>
          <t>TBD</t>
        </is>
      </c>
      <c r="P18" s="5" t="inlineStr">
        <is>
          <t>medium</t>
        </is>
      </c>
      <c r="Q18" s="5" t="inlineStr">
        <is>
          <t>Or LANGUDDEN | Ціна збір: 2026-05-28</t>
        </is>
      </c>
    </row>
    <row r="19">
      <c r="A19" s="5" t="n">
        <v>15</v>
      </c>
      <c r="B19" s="5" t="inlineStr">
        <is>
          <t>Cabinetry</t>
        </is>
      </c>
      <c r="C19" s="5" t="inlineStr">
        <is>
          <t>Fixtures</t>
        </is>
      </c>
      <c r="D19" s="5" t="inlineStr">
        <is>
          <t>Kitchen Faucet</t>
        </is>
      </c>
      <c r="E19" s="5" t="inlineStr">
        <is>
          <t>IKEA ÄLMAREN pull-down single-handle</t>
        </is>
      </c>
      <c r="F19" s="5" t="inlineStr">
        <is>
          <t>pcs</t>
        </is>
      </c>
      <c r="G19" s="27" t="n">
        <v>1</v>
      </c>
      <c r="H19" s="27" t="n">
        <v>1</v>
      </c>
      <c r="I19" s="27" t="n">
        <v>1</v>
      </c>
      <c r="J19" s="22" t="n">
        <v>110</v>
      </c>
      <c r="K19" s="22">
        <f>IF(OR(H19="",J19="",J19=0),"",H19*J19)</f>
        <v/>
      </c>
      <c r="L19" s="5" t="inlineStr">
        <is>
          <t>IKEA / Home Depot</t>
        </is>
      </c>
      <c r="M19" s="5" t="inlineStr">
        <is>
          <t>IKEA ÄLMAREN pull-down faucet</t>
        </is>
      </c>
      <c r="N19" s="5" t="inlineStr"/>
      <c r="O19" s="5" t="inlineStr">
        <is>
          <t>TBD</t>
        </is>
      </c>
      <c r="P19" s="5" t="inlineStr">
        <is>
          <t>medium</t>
        </is>
      </c>
      <c r="Q19" s="5" t="inlineStr">
        <is>
          <t xml:space="preserve"> | Ціна збір: 2026-05-28</t>
        </is>
      </c>
    </row>
    <row r="20">
      <c r="A20" s="5" t="n">
        <v>16</v>
      </c>
      <c r="B20" s="5" t="inlineStr">
        <is>
          <t>Cabinetry</t>
        </is>
      </c>
      <c r="C20" s="5" t="inlineStr">
        <is>
          <t>Hardware</t>
        </is>
      </c>
      <c r="D20" s="5" t="inlineStr">
        <is>
          <t>Handles / Knobs</t>
        </is>
      </c>
      <c r="E20" s="5" t="inlineStr">
        <is>
          <t>Modern bar pulls — 6-8 pulls</t>
        </is>
      </c>
      <c r="F20" s="5" t="inlineStr">
        <is>
          <t>set</t>
        </is>
      </c>
      <c r="G20" s="27" t="n">
        <v>1</v>
      </c>
      <c r="H20" s="27" t="n">
        <v>1</v>
      </c>
      <c r="I20" s="27" t="n">
        <v>1</v>
      </c>
      <c r="J20" s="22" t="n">
        <v>50</v>
      </c>
      <c r="K20" s="22">
        <f>IF(OR(H20="",J20="",J20=0),"",H20*J20)</f>
        <v/>
      </c>
      <c r="L20" s="5" t="inlineStr">
        <is>
          <t>IKEA</t>
        </is>
      </c>
      <c r="M20" s="5" t="inlineStr">
        <is>
          <t>IKEA modern bar pulls set 6-8 pcs</t>
        </is>
      </c>
      <c r="N20" s="5" t="inlineStr"/>
      <c r="O20" s="5" t="inlineStr">
        <is>
          <t>TBD</t>
        </is>
      </c>
      <c r="P20" s="5" t="inlineStr">
        <is>
          <t>medium</t>
        </is>
      </c>
      <c r="Q20" s="5" t="inlineStr">
        <is>
          <t xml:space="preserve"> | Ціна збір: 2026-05-28</t>
        </is>
      </c>
    </row>
    <row r="21">
      <c r="A21" s="5" t="n">
        <v>17</v>
      </c>
      <c r="B21" s="5" t="inlineStr">
        <is>
          <t>Cabinetry</t>
        </is>
      </c>
      <c r="C21" s="5" t="inlineStr">
        <is>
          <t>Lighting</t>
        </is>
      </c>
      <c r="D21" s="5" t="inlineStr">
        <is>
          <t>Under-cabinet Lighting</t>
        </is>
      </c>
      <c r="E21" s="5" t="inlineStr">
        <is>
          <t>IKEA OMLOPP LED strip set. Driver — cross-ref Phase 6 r38</t>
        </is>
      </c>
      <c r="F21" s="5" t="inlineStr">
        <is>
          <t>set</t>
        </is>
      </c>
      <c r="G21" s="27" t="n">
        <v>0</v>
      </c>
      <c r="H21" s="27" t="n">
        <v>1</v>
      </c>
      <c r="I21" s="27" t="n">
        <v>1</v>
      </c>
      <c r="J21" s="22" t="n">
        <v>80</v>
      </c>
      <c r="K21" s="22">
        <f>IF(OR(H21="",J21="",J21=0),"",H21*J21)</f>
        <v/>
      </c>
      <c r="L21" s="5" t="inlineStr">
        <is>
          <t>IKEA / Home Depot</t>
        </is>
      </c>
      <c r="M21" s="5" t="inlineStr">
        <is>
          <t>IKEA OMLOPP LED under-cabinet set</t>
        </is>
      </c>
      <c r="N21" s="5" t="inlineStr"/>
      <c r="O21" s="5" t="inlineStr">
        <is>
          <t>TBD</t>
        </is>
      </c>
      <c r="P21" s="5" t="inlineStr">
        <is>
          <t>medium</t>
        </is>
      </c>
      <c r="Q21" s="5" t="inlineStr">
        <is>
          <t>LED driver counted в Phase 6 r38 | Driver окремо в Phase 6 r38 | Ціна збір: 2026-05-28</t>
        </is>
      </c>
    </row>
    <row r="22">
      <c r="A22" s="5" t="n">
        <v>18</v>
      </c>
      <c r="B22" s="5" t="inlineStr">
        <is>
          <t>Cabinetry</t>
        </is>
      </c>
      <c r="C22" s="5" t="inlineStr">
        <is>
          <t>Plumbing</t>
        </is>
      </c>
      <c r="D22" s="5" t="inlineStr">
        <is>
          <t>Kitchen Sink Plumbing Kit</t>
        </is>
      </c>
      <c r="E22" s="5" t="inlineStr">
        <is>
          <t>Basket strainer + tailpiece + drain assembly</t>
        </is>
      </c>
      <c r="F22" s="5" t="inlineStr">
        <is>
          <t>set</t>
        </is>
      </c>
      <c r="G22" s="27" t="n">
        <v>1</v>
      </c>
      <c r="H22" s="27" t="n">
        <v>1</v>
      </c>
      <c r="I22" s="27" t="n">
        <v>1</v>
      </c>
      <c r="J22" s="22" t="n">
        <v>20</v>
      </c>
      <c r="K22" s="22">
        <f>IF(OR(H22="",J22="",J22=0),"",H22*J22)</f>
        <v/>
      </c>
      <c r="L22" s="5" t="inlineStr">
        <is>
          <t>Home Depot</t>
        </is>
      </c>
      <c r="M22" s="5" t="inlineStr">
        <is>
          <t>Oatey sink drain assembly + strainer kit</t>
        </is>
      </c>
      <c r="N22" s="5" t="inlineStr"/>
      <c r="O22" s="5" t="inlineStr">
        <is>
          <t>Confirmed</t>
        </is>
      </c>
      <c r="P22" s="5" t="inlineStr">
        <is>
          <t>medium</t>
        </is>
      </c>
      <c r="Q22" s="5" t="inlineStr">
        <is>
          <t>Phase 5 = rough-in to wall. Phase 12 = finish connection under sink | ДОДАНО | Ціна збір: 2026-05-28</t>
        </is>
      </c>
    </row>
    <row r="23">
      <c r="A23" s="5" t="n">
        <v>19</v>
      </c>
      <c r="B23" s="5" t="inlineStr">
        <is>
          <t>Cabinetry</t>
        </is>
      </c>
      <c r="C23" s="5" t="inlineStr">
        <is>
          <t>Plumbing</t>
        </is>
      </c>
      <c r="D23" s="5" t="inlineStr">
        <is>
          <t>Sink Mounting Hardware</t>
        </is>
      </c>
      <c r="E23" s="5" t="inlineStr">
        <is>
          <t>Drop-in clips або undermount brackets</t>
        </is>
      </c>
      <c r="F23" s="5" t="inlineStr">
        <is>
          <t>set</t>
        </is>
      </c>
      <c r="G23" s="27" t="n">
        <v>1</v>
      </c>
      <c r="H23" s="27" t="n">
        <v>1</v>
      </c>
      <c r="I23" s="27" t="n">
        <v>1</v>
      </c>
      <c r="J23" s="22" t="n">
        <v>15</v>
      </c>
      <c r="K23" s="22">
        <f>IF(OR(H23="",J23="",J23=0),"",H23*J23)</f>
        <v/>
      </c>
      <c r="L23" s="5" t="inlineStr">
        <is>
          <t>Home Depot</t>
        </is>
      </c>
      <c r="M23" s="5" t="inlineStr">
        <is>
          <t>Generic drop-in sink clips або undermount brackets</t>
        </is>
      </c>
      <c r="N23" s="5" t="inlineStr"/>
      <c r="O23" s="5" t="inlineStr">
        <is>
          <t>Confirmed</t>
        </is>
      </c>
      <c r="P23" s="5" t="inlineStr">
        <is>
          <t>medium</t>
        </is>
      </c>
      <c r="Q23" s="5" t="inlineStr">
        <is>
          <t>ДОДАНО | ДОДАНО | Ціна збір: 2026-05-28</t>
        </is>
      </c>
    </row>
    <row r="24">
      <c r="A24" s="5" t="n">
        <v>20</v>
      </c>
      <c r="B24" s="5" t="inlineStr">
        <is>
          <t>Cabinetry</t>
        </is>
      </c>
      <c r="C24" s="5" t="inlineStr">
        <is>
          <t>Backsplash</t>
        </is>
      </c>
      <c r="D24" s="5" t="inlineStr">
        <is>
          <t>Tile Adhesive + Grout</t>
        </is>
      </c>
      <c r="E24" s="5" t="inlineStr">
        <is>
          <t>Mastic + grout + sealant</t>
        </is>
      </c>
      <c r="F24" s="5" t="inlineStr">
        <is>
          <t>set</t>
        </is>
      </c>
      <c r="G24" s="27" t="n">
        <v>1</v>
      </c>
      <c r="H24" s="27" t="n">
        <v>1</v>
      </c>
      <c r="I24" s="27" t="n">
        <v>1</v>
      </c>
      <c r="J24" s="22" t="n">
        <v>30</v>
      </c>
      <c r="K24" s="22">
        <f>IF(OR(H24="",J24="",J24=0),"",H24*J24)</f>
        <v/>
      </c>
      <c r="L24" s="5" t="inlineStr">
        <is>
          <t>Home Depot</t>
        </is>
      </c>
      <c r="M24" s="5" t="inlineStr">
        <is>
          <t>Custom Building Products tile mastic + grout set</t>
        </is>
      </c>
      <c r="N24" s="5" t="inlineStr"/>
      <c r="O24" s="5" t="inlineStr">
        <is>
          <t>Confirmed</t>
        </is>
      </c>
      <c r="P24" s="5" t="inlineStr">
        <is>
          <t>medium</t>
        </is>
      </c>
      <c r="Q24" s="5" t="inlineStr">
        <is>
          <t>ДОДАНО | ДОДАНО | Ціна збір: 2026-05-28</t>
        </is>
      </c>
    </row>
    <row r="25">
      <c r="A25" s="5" t="n">
        <v>21</v>
      </c>
      <c r="B25" s="5" t="inlineStr">
        <is>
          <t>Cabinetry</t>
        </is>
      </c>
      <c r="C25" s="5" t="inlineStr">
        <is>
          <t>Backsplash</t>
        </is>
      </c>
      <c r="D25" s="5" t="inlineStr">
        <is>
          <t>Backsplash Trim / Edge Mouldings</t>
        </is>
      </c>
      <c r="E25" s="5" t="inlineStr">
        <is>
          <t>Bullnose або metal edges</t>
        </is>
      </c>
      <c r="F25" s="5" t="inlineStr">
        <is>
          <t>set</t>
        </is>
      </c>
      <c r="G25" s="27" t="n">
        <v>1</v>
      </c>
      <c r="H25" s="27" t="n">
        <v>1</v>
      </c>
      <c r="I25" s="27" t="n">
        <v>1</v>
      </c>
      <c r="J25" s="22" t="n">
        <v>30</v>
      </c>
      <c r="K25" s="22">
        <f>IF(OR(H25="",J25="",J25=0),"",H25*J25)</f>
        <v/>
      </c>
      <c r="L25" s="5" t="inlineStr">
        <is>
          <t>Home Depot</t>
        </is>
      </c>
      <c r="M25" s="5" t="inlineStr">
        <is>
          <t>Generic bullnose backsplash trim set</t>
        </is>
      </c>
      <c r="N25" s="5" t="inlineStr"/>
      <c r="O25" s="5" t="inlineStr">
        <is>
          <t>Confirmed</t>
        </is>
      </c>
      <c r="P25" s="5" t="inlineStr">
        <is>
          <t>medium</t>
        </is>
      </c>
      <c r="Q25" s="5" t="inlineStr">
        <is>
          <t>ДОДАНО | ДОДАНО | Ціна збір: 2026-05-28</t>
        </is>
      </c>
    </row>
    <row r="26">
      <c r="A26" s="5" t="n">
        <v>22</v>
      </c>
      <c r="B26" s="5" t="inlineStr">
        <is>
          <t>Cabinetry</t>
        </is>
      </c>
      <c r="C26" s="5" t="inlineStr">
        <is>
          <t>Sealants</t>
        </is>
      </c>
      <c r="D26" s="5" t="inlineStr">
        <is>
          <t>Countertop Silicone Sealant</t>
        </is>
      </c>
      <c r="E26" s="5" t="inlineStr">
        <is>
          <t>Kitchen-safe 100% silicone</t>
        </is>
      </c>
      <c r="F26" s="5" t="inlineStr">
        <is>
          <t>tubes</t>
        </is>
      </c>
      <c r="G26" s="27" t="n">
        <v>1</v>
      </c>
      <c r="H26" s="27" t="n">
        <v>1</v>
      </c>
      <c r="I26" s="27" t="n">
        <v>2</v>
      </c>
      <c r="J26" s="22" t="n">
        <v>8</v>
      </c>
      <c r="K26" s="22">
        <f>IF(OR(H26="",J26="",J26=0),"",H26*J26)</f>
        <v/>
      </c>
      <c r="L26" s="5" t="inlineStr">
        <is>
          <t>Home Depot</t>
        </is>
      </c>
      <c r="M26" s="5" t="inlineStr">
        <is>
          <t>GE Silicone II Kitchen 100% silicone</t>
        </is>
      </c>
      <c r="N26" s="5" t="inlineStr"/>
      <c r="O26" s="5" t="inlineStr">
        <is>
          <t>Confirmed</t>
        </is>
      </c>
      <c r="P26" s="5" t="inlineStr">
        <is>
          <t>medium</t>
        </is>
      </c>
      <c r="Q26" s="5" t="inlineStr">
        <is>
          <t>ДОДАНО | ДОДАНО: per tube | Ціна збір: 2026-05-28</t>
        </is>
      </c>
    </row>
    <row r="27">
      <c r="A27" s="5" t="n">
        <v>23</v>
      </c>
      <c r="B27" s="5" t="inlineStr">
        <is>
          <t>Cabinetry</t>
        </is>
      </c>
      <c r="C27" s="5" t="inlineStr">
        <is>
          <t>Cabinets</t>
        </is>
      </c>
      <c r="D27" s="5" t="inlineStr">
        <is>
          <t>Cabinet Shelves / Organizers Allowance</t>
        </is>
      </c>
      <c r="E27" s="5" t="inlineStr">
        <is>
          <t>Drawer inserts + extra shelves</t>
        </is>
      </c>
      <c r="F27" s="5" t="inlineStr">
        <is>
          <t>set</t>
        </is>
      </c>
      <c r="G27" s="27" t="n">
        <v>0</v>
      </c>
      <c r="H27" s="27" t="n">
        <v>0</v>
      </c>
      <c r="I27" s="27" t="n">
        <v>1</v>
      </c>
      <c r="J27" s="22" t="n">
        <v>60</v>
      </c>
      <c r="K27" s="22">
        <f>IF(OR(H27="",J27="",J27=0),"",H27*J27)</f>
        <v/>
      </c>
      <c r="L27" s="5" t="inlineStr">
        <is>
          <t>IKEA</t>
        </is>
      </c>
      <c r="M27" s="5" t="inlineStr">
        <is>
          <t>IKEA RATIONELL/SEKTION extras (Optional)</t>
        </is>
      </c>
      <c r="N27" s="5" t="inlineStr"/>
      <c r="O27" s="5" t="inlineStr">
        <is>
          <t>Optional</t>
        </is>
      </c>
      <c r="P27" s="5" t="inlineStr">
        <is>
          <t>medium</t>
        </is>
      </c>
      <c r="Q27" s="5" t="inlineStr">
        <is>
          <t>ДОДАНО | ДОДАНО: drawer inserts, extra shelves | Ціна збір: 2026-05-28</t>
        </is>
      </c>
    </row>
    <row r="28">
      <c r="A28" s="5" t="n">
        <v>24</v>
      </c>
      <c r="B28" s="5" t="inlineStr">
        <is>
          <t>Cabinetry</t>
        </is>
      </c>
      <c r="C28" s="5" t="inlineStr">
        <is>
          <t>Cabinets</t>
        </is>
      </c>
      <c r="D28" s="5" t="inlineStr">
        <is>
          <t>Cabinet Feet / Risers Allowance</t>
        </is>
      </c>
      <c r="E28" s="5" t="inlineStr">
        <is>
          <t>Custom heights</t>
        </is>
      </c>
      <c r="F28" s="5" t="inlineStr">
        <is>
          <t>set</t>
        </is>
      </c>
      <c r="G28" s="27" t="n">
        <v>0</v>
      </c>
      <c r="H28" s="27" t="n">
        <v>0</v>
      </c>
      <c r="I28" s="27" t="n">
        <v>1</v>
      </c>
      <c r="J28" s="22" t="n">
        <v>30</v>
      </c>
      <c r="K28" s="22">
        <f>IF(OR(H28="",J28="",J28=0),"",H28*J28)</f>
        <v/>
      </c>
      <c r="L28" s="5" t="inlineStr">
        <is>
          <t>IKEA</t>
        </is>
      </c>
      <c r="M28" s="5" t="inlineStr">
        <is>
          <t>IKEA cabinet feet/risers allowance (Optional)</t>
        </is>
      </c>
      <c r="N28" s="5" t="inlineStr"/>
      <c r="O28" s="5" t="inlineStr">
        <is>
          <t>Optional</t>
        </is>
      </c>
      <c r="P28" s="5" t="inlineStr">
        <is>
          <t>medium</t>
        </is>
      </c>
      <c r="Q28" s="5" t="inlineStr">
        <is>
          <t>ДОДАНО | ДОДАНО | Ціна збір: 2026-05-28</t>
        </is>
      </c>
    </row>
    <row r="29">
      <c r="A29" s="5" t="n">
        <v>25</v>
      </c>
      <c r="B29" s="5" t="inlineStr">
        <is>
          <t>Cabinetry</t>
        </is>
      </c>
      <c r="C29" s="5" t="inlineStr">
        <is>
          <t>Cabinets</t>
        </is>
      </c>
      <c r="D29" s="5" t="inlineStr">
        <is>
          <t>IKEA SEKTION Suspension Rail</t>
        </is>
      </c>
      <c r="E29" s="5" t="inlineStr">
        <is>
          <t>Required для wall+base cabinet mounting</t>
        </is>
      </c>
      <c r="F29" s="5" t="inlineStr">
        <is>
          <t>pcs</t>
        </is>
      </c>
      <c r="G29" s="27" t="n">
        <v>2</v>
      </c>
      <c r="H29" s="27" t="n">
        <v>3</v>
      </c>
      <c r="I29" s="27" t="n">
        <v>4</v>
      </c>
      <c r="J29" s="22" t="n">
        <v>12</v>
      </c>
      <c r="K29" s="22">
        <f>IF(OR(H29="",J29="",J29=0),"",H29*J29)</f>
        <v/>
      </c>
      <c r="L29" s="5" t="inlineStr">
        <is>
          <t>IKEA</t>
        </is>
      </c>
      <c r="M29" s="5" t="inlineStr">
        <is>
          <t>IKEA SEKTION suspension rail 39"</t>
        </is>
      </c>
      <c r="N29" s="5" t="inlineStr"/>
      <c r="O29" s="5" t="inlineStr">
        <is>
          <t>Confirmed</t>
        </is>
      </c>
      <c r="P29" s="5" t="inlineStr">
        <is>
          <t>medium</t>
        </is>
      </c>
      <c r="Q29" s="5" t="inlineStr">
        <is>
          <t>ДОДАНО (review): без rail SEKTION не монтується | ДОДАНО (review): per rail | Ціна збір: 2026-05-28</t>
        </is>
      </c>
    </row>
    <row r="30">
      <c r="A30" s="5" t="n">
        <v>26</v>
      </c>
      <c r="B30" s="5" t="inlineStr">
        <is>
          <t>Cabinetry</t>
        </is>
      </c>
      <c r="C30" s="5" t="inlineStr">
        <is>
          <t>Cabinets</t>
        </is>
      </c>
      <c r="D30" s="5" t="inlineStr">
        <is>
          <t>Cabinet Mounting Screws / Wall Anchors</t>
        </is>
      </c>
      <c r="E30" s="5" t="inlineStr">
        <is>
          <t>Для rail/cabinet installation in studs</t>
        </is>
      </c>
      <c r="F30" s="5" t="inlineStr">
        <is>
          <t>set</t>
        </is>
      </c>
      <c r="G30" s="27" t="n">
        <v>1</v>
      </c>
      <c r="H30" s="27" t="n">
        <v>1</v>
      </c>
      <c r="I30" s="27" t="n">
        <v>1</v>
      </c>
      <c r="J30" s="22" t="n">
        <v>15</v>
      </c>
      <c r="K30" s="22">
        <f>IF(OR(H30="",J30="",J30=0),"",H30*J30)</f>
        <v/>
      </c>
      <c r="L30" s="5" t="inlineStr">
        <is>
          <t>Home Depot</t>
        </is>
      </c>
      <c r="M30" s="5" t="inlineStr">
        <is>
          <t>Generic cabinet mounting screws + anchors</t>
        </is>
      </c>
      <c r="N30" s="5" t="inlineStr"/>
      <c r="O30" s="5" t="inlineStr">
        <is>
          <t>Confirmed</t>
        </is>
      </c>
      <c r="P30" s="5" t="inlineStr">
        <is>
          <t>medium</t>
        </is>
      </c>
      <c r="Q30" s="5" t="inlineStr">
        <is>
          <t>ДОДАНО (review) | ДОДАНО (review) | Ціна збір: 2026-05-28</t>
        </is>
      </c>
    </row>
    <row r="31">
      <c r="A31" s="5" t="n">
        <v>27</v>
      </c>
      <c r="B31" s="5" t="inlineStr">
        <is>
          <t>Cabinetry</t>
        </is>
      </c>
      <c r="C31" s="5" t="inlineStr">
        <is>
          <t>Countertop</t>
        </is>
      </c>
      <c r="D31" s="5" t="inlineStr">
        <is>
          <t>Countertop End Caps / Edge Banding</t>
        </is>
      </c>
      <c r="E31" s="5" t="inlineStr">
        <is>
          <t>Для laminate або cut edges</t>
        </is>
      </c>
      <c r="F31" s="5" t="inlineStr">
        <is>
          <t>set</t>
        </is>
      </c>
      <c r="G31" s="27" t="n">
        <v>1</v>
      </c>
      <c r="H31" s="27" t="n">
        <v>1</v>
      </c>
      <c r="I31" s="27" t="n">
        <v>1</v>
      </c>
      <c r="J31" s="22" t="n">
        <v>20</v>
      </c>
      <c r="K31" s="22">
        <f>IF(OR(H31="",J31="",J31=0),"",H31*J31)</f>
        <v/>
      </c>
      <c r="L31" s="5" t="inlineStr">
        <is>
          <t>IKEA / Home Depot</t>
        </is>
      </c>
      <c r="M31" s="5" t="inlineStr">
        <is>
          <t>Generic countertop end caps + edge banding</t>
        </is>
      </c>
      <c r="N31" s="5" t="inlineStr"/>
      <c r="O31" s="5" t="inlineStr">
        <is>
          <t>TBD</t>
        </is>
      </c>
      <c r="P31" s="5" t="inlineStr">
        <is>
          <t>medium</t>
        </is>
      </c>
      <c r="Q31" s="5" t="inlineStr">
        <is>
          <t>ДОДАНО (review) | ДОДАНО (review) | Ціна збір: 2026-05-28</t>
        </is>
      </c>
    </row>
    <row r="32">
      <c r="A32" s="5" t="n">
        <v>28</v>
      </c>
      <c r="B32" s="5" t="inlineStr">
        <is>
          <t>Cabinetry</t>
        </is>
      </c>
      <c r="C32" s="5" t="inlineStr">
        <is>
          <t>Cabinets</t>
        </is>
      </c>
      <c r="D32" s="5" t="inlineStr">
        <is>
          <t>Dishwasher End Panel / Cover</t>
        </is>
      </c>
      <c r="E32" s="5" t="inlineStr">
        <is>
          <t>Якщо dishwasher на кінці cabinet run</t>
        </is>
      </c>
      <c r="F32" s="5" t="inlineStr">
        <is>
          <t>pcs</t>
        </is>
      </c>
      <c r="G32" s="27" t="n">
        <v>0</v>
      </c>
      <c r="H32" s="27" t="n">
        <v>1</v>
      </c>
      <c r="I32" s="27" t="n">
        <v>1</v>
      </c>
      <c r="J32" s="22" t="n">
        <v>50</v>
      </c>
      <c r="K32" s="22">
        <f>IF(OR(H32="",J32="",J32=0),"",H32*J32)</f>
        <v/>
      </c>
      <c r="L32" s="5" t="inlineStr">
        <is>
          <t>IKEA</t>
        </is>
      </c>
      <c r="M32" s="5" t="inlineStr">
        <is>
          <t>IKEA dishwasher cover end panel</t>
        </is>
      </c>
      <c r="N32" s="5" t="inlineStr"/>
      <c r="O32" s="5" t="inlineStr">
        <is>
          <t>TBD</t>
        </is>
      </c>
      <c r="P32" s="5" t="inlineStr">
        <is>
          <t>medium</t>
        </is>
      </c>
      <c r="Q32" s="5" t="inlineStr">
        <is>
          <t>ДОДАНО (review): cover open side | ДОДАНО (review) | Ціна збір: 2026-05-28</t>
        </is>
      </c>
    </row>
    <row r="33">
      <c r="A33" s="5" t="n">
        <v>29</v>
      </c>
      <c r="B33" s="5" t="inlineStr">
        <is>
          <t>Cabinetry</t>
        </is>
      </c>
      <c r="C33" s="5" t="inlineStr">
        <is>
          <t>Cabinets</t>
        </is>
      </c>
      <c r="D33" s="5" t="inlineStr">
        <is>
          <t>Dishwasher Mounting Hardware (anti-tip)</t>
        </is>
      </c>
      <c r="E33" s="5" t="inlineStr">
        <is>
          <t>Якщо не included з appliance</t>
        </is>
      </c>
      <c r="F33" s="5" t="inlineStr">
        <is>
          <t>set</t>
        </is>
      </c>
      <c r="G33" s="27" t="n">
        <v>0</v>
      </c>
      <c r="H33" s="27" t="n">
        <v>1</v>
      </c>
      <c r="I33" s="27" t="n">
        <v>1</v>
      </c>
      <c r="J33" s="22" t="n">
        <v>15</v>
      </c>
      <c r="K33" s="22">
        <f>IF(OR(H33="",J33="",J33=0),"",H33*J33)</f>
        <v/>
      </c>
      <c r="L33" s="5" t="inlineStr">
        <is>
          <t>Home Depot</t>
        </is>
      </c>
      <c r="M33" s="5" t="inlineStr">
        <is>
          <t>Generic dishwasher anti-tip mounting</t>
        </is>
      </c>
      <c r="N33" s="5" t="inlineStr"/>
      <c r="O33" s="5" t="inlineStr">
        <is>
          <t>TBD</t>
        </is>
      </c>
      <c r="P33" s="5" t="inlineStr">
        <is>
          <t>medium</t>
        </is>
      </c>
      <c r="Q33" s="5" t="inlineStr">
        <is>
          <t>ДОДАНО (review) | ДОДАНО (review) | Ціна збір: 2026-05-28</t>
        </is>
      </c>
    </row>
    <row r="34">
      <c r="A34" s="5" t="n">
        <v>30</v>
      </c>
      <c r="B34" s="5" t="inlineStr">
        <is>
          <t>Cabinetry</t>
        </is>
      </c>
      <c r="C34" s="5" t="inlineStr">
        <is>
          <t>Backsplash</t>
        </is>
      </c>
      <c r="D34" s="5" t="inlineStr">
        <is>
          <t>Backsplash Spacers / Float / Sponge Set</t>
        </is>
      </c>
      <c r="E34" s="5" t="inlineStr">
        <is>
          <t>Tile install small supplies</t>
        </is>
      </c>
      <c r="F34" s="5" t="inlineStr">
        <is>
          <t>set</t>
        </is>
      </c>
      <c r="G34" s="27" t="n">
        <v>1</v>
      </c>
      <c r="H34" s="27" t="n">
        <v>1</v>
      </c>
      <c r="I34" s="27" t="n">
        <v>1</v>
      </c>
      <c r="J34" s="22" t="n">
        <v>15</v>
      </c>
      <c r="K34" s="22">
        <f>IF(OR(H34="",J34="",J34=0),"",H34*J34)</f>
        <v/>
      </c>
      <c r="L34" s="5" t="inlineStr">
        <is>
          <t>Home Depot</t>
        </is>
      </c>
      <c r="M34" s="5" t="inlineStr">
        <is>
          <t>Generic tile spacers + float + sponge kit</t>
        </is>
      </c>
      <c r="N34" s="5" t="inlineStr"/>
      <c r="O34" s="5" t="inlineStr">
        <is>
          <t>Confirmed</t>
        </is>
      </c>
      <c r="P34" s="5" t="inlineStr">
        <is>
          <t>medium</t>
        </is>
      </c>
      <c r="Q34" s="5" t="inlineStr">
        <is>
          <t>ДОДАНО (review) | ДОДАНО (review) | Ціна збір: 2026-05-28</t>
        </is>
      </c>
    </row>
    <row r="35">
      <c r="A35" s="5" t="n">
        <v>31</v>
      </c>
      <c r="B35" s="5" t="inlineStr">
        <is>
          <t>Cabinetry</t>
        </is>
      </c>
      <c r="C35" s="5" t="inlineStr">
        <is>
          <t>Countertop</t>
        </is>
      </c>
      <c r="D35" s="5" t="inlineStr">
        <is>
          <t>Butcher Block Oil/Sealer</t>
        </is>
      </c>
      <c r="E35" s="5" t="inlineStr">
        <is>
          <t>Якщо KARLBY butcher block обрано</t>
        </is>
      </c>
      <c r="F35" s="5" t="inlineStr">
        <is>
          <t>qt</t>
        </is>
      </c>
      <c r="G35" s="27" t="n">
        <v>0</v>
      </c>
      <c r="H35" s="27" t="n">
        <v>1</v>
      </c>
      <c r="I35" s="27" t="n">
        <v>2</v>
      </c>
      <c r="J35" s="22" t="n">
        <v>20</v>
      </c>
      <c r="K35" s="22">
        <f>IF(OR(H35="",J35="",J35=0),"",H35*J35)</f>
        <v/>
      </c>
      <c r="L35" s="5" t="inlineStr">
        <is>
          <t>Home Depot</t>
        </is>
      </c>
      <c r="M35" s="5" t="inlineStr">
        <is>
          <t>Boos butcher block oil + sealer 1 qt</t>
        </is>
      </c>
      <c r="N35" s="5" t="inlineStr"/>
      <c r="O35" s="5" t="inlineStr">
        <is>
          <t>TBD</t>
        </is>
      </c>
      <c r="P35" s="5" t="inlineStr">
        <is>
          <t>medium</t>
        </is>
      </c>
      <c r="Q35" s="5" t="inlineStr">
        <is>
          <t>ДОДАНО (review): тільки якщо butcher block | ДОДАНО (review): тільки для butcher block | Ціна збір: 2026-05-28</t>
        </is>
      </c>
    </row>
    <row r="36">
      <c r="A36" s="5" t="n">
        <v>32</v>
      </c>
      <c r="B36" s="5" t="inlineStr">
        <is>
          <t>Cabinetry</t>
        </is>
      </c>
      <c r="C36" s="5" t="inlineStr">
        <is>
          <t>Cross-ref</t>
        </is>
      </c>
      <c r="D36" s="5" t="inlineStr">
        <is>
          <t>Dishwasher Air Gap (CA UPC)</t>
        </is>
      </c>
      <c r="E36" s="5" t="inlineStr">
        <is>
          <t>Cross-ref Phase 5 r37 — не дублювати</t>
        </is>
      </c>
      <c r="F36" s="5" t="inlineStr">
        <is>
          <t>set</t>
        </is>
      </c>
      <c r="G36" s="27" t="n">
        <v>0</v>
      </c>
      <c r="H36" s="27" t="n">
        <v>0</v>
      </c>
      <c r="I36" s="27" t="n">
        <v>0</v>
      </c>
      <c r="J36" s="22" t="n">
        <v>0</v>
      </c>
      <c r="K36" s="22">
        <f>IF(OR(H36="",J36="",J36=0),"",H36*J36)</f>
        <v/>
      </c>
      <c r="L36" s="5" t="inlineStr">
        <is>
          <t>—</t>
        </is>
      </c>
      <c r="M36" s="5" t="inlineStr">
        <is>
          <t>Cross-ref Phase 5 r37 — qty 0</t>
        </is>
      </c>
      <c r="N36" s="5" t="inlineStr"/>
      <c r="O36" s="5" t="inlineStr">
        <is>
          <t>Confirmed</t>
        </is>
      </c>
      <c r="P36" s="5" t="inlineStr">
        <is>
          <t>high</t>
        </is>
      </c>
      <c r="Q36" s="5" t="inlineStr">
        <is>
          <t>ДОДАНО: вже у Phase 5 r37 Dishwasher Branch + Air Gap | ДОДАНО: dishwasher air gap — already in Phase 5 | Ціна збір: 2026-05-28</t>
        </is>
      </c>
    </row>
    <row r="38">
      <c r="A38" s="8" t="n"/>
      <c r="B38" s="8" t="n"/>
      <c r="C38" s="9" t="inlineStr">
        <is>
          <t>ПІДСУМОК ФАЗИ</t>
        </is>
      </c>
      <c r="D38" s="8" t="n"/>
      <c r="E38" s="8" t="n"/>
      <c r="F38" s="8" t="n"/>
      <c r="G38" s="8" t="n"/>
      <c r="H38" s="8" t="n"/>
      <c r="I38" s="8" t="n"/>
      <c r="J38" s="8" t="n"/>
      <c r="K38" s="24">
        <f>SUM(K5:K36)</f>
        <v/>
      </c>
      <c r="L38" s="8" t="n"/>
      <c r="M38" s="8" t="n"/>
      <c r="N38" s="8" t="n"/>
      <c r="O38" s="8" t="n"/>
      <c r="P38" s="8" t="n"/>
      <c r="Q38" s="8" t="n"/>
    </row>
  </sheetData>
  <autoFilter ref="A4:Q36"/>
  <mergeCells count="2">
    <mergeCell ref="A2:Q2"/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13 — Bathroom Fixtures (§14)</t>
        </is>
      </c>
    </row>
    <row r="2" ht="18" customHeight="1">
      <c r="A2" s="3" t="inlineStr">
        <is>
          <t>Prefab shower + toilet + vanity + accessories + fan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Finish — Fixtures</t>
        </is>
      </c>
      <c r="C5" s="5" t="inlineStr">
        <is>
          <t>Shower</t>
        </is>
      </c>
      <c r="D5" s="5" t="inlineStr">
        <is>
          <t>Prefab Shower Base 32×40</t>
        </is>
      </c>
      <c r="E5" s="5" t="inlineStr">
        <is>
          <t>Acrylic/fiberglass</t>
        </is>
      </c>
      <c r="F5" s="5" t="inlineStr">
        <is>
          <t>pcs</t>
        </is>
      </c>
      <c r="G5" s="27" t="n">
        <v>1</v>
      </c>
      <c r="H5" s="27" t="n">
        <v>1</v>
      </c>
      <c r="I5" s="27" t="n">
        <v>1</v>
      </c>
      <c r="J5" s="22" t="n">
        <v>275</v>
      </c>
      <c r="K5" s="22">
        <f>IF(OR(H5="",J5="",J5=0),"",H5*J5)</f>
        <v/>
      </c>
      <c r="L5" s="5" t="inlineStr">
        <is>
          <t>Home Depot</t>
        </is>
      </c>
      <c r="M5" s="5" t="inlineStr">
        <is>
          <t>MAAX/Sterling prefab shower base 32×40</t>
        </is>
      </c>
      <c r="N5" s="5" t="inlineStr"/>
      <c r="O5" s="5" t="inlineStr">
        <is>
          <t>Confirmed</t>
        </is>
      </c>
      <c r="P5" s="5" t="inlineStr">
        <is>
          <t>medium</t>
        </is>
      </c>
      <c r="Q5" s="5" t="inlineStr">
        <is>
          <t>MAAX/Sterling style | Acrylic/fiberglass base only | Ціна збір: 2026-05-28</t>
        </is>
      </c>
    </row>
    <row r="6">
      <c r="A6" s="5" t="n">
        <v>2</v>
      </c>
      <c r="B6" s="5" t="inlineStr">
        <is>
          <t>Finish — Fixtures</t>
        </is>
      </c>
      <c r="C6" s="5" t="inlineStr">
        <is>
          <t>Shower</t>
        </is>
      </c>
      <c r="D6" s="5" t="inlineStr">
        <is>
          <t>Prefab Shower Wall System</t>
        </is>
      </c>
      <c r="E6" s="5" t="inlineStr">
        <is>
          <t>DEPRECATED — заміняємо tile (r28-r34)</t>
        </is>
      </c>
      <c r="F6" s="5" t="inlineStr">
        <is>
          <t>set</t>
        </is>
      </c>
      <c r="G6" s="27" t="n">
        <v>0</v>
      </c>
      <c r="H6" s="27" t="n">
        <v>0</v>
      </c>
      <c r="I6" s="27" t="n">
        <v>0</v>
      </c>
      <c r="J6" s="22" t="n">
        <v>0</v>
      </c>
      <c r="K6" s="22">
        <f>IF(OR(H6="",J6="",J6=0),"",H6*J6)</f>
        <v/>
      </c>
      <c r="L6" s="5" t="inlineStr">
        <is>
          <t>—</t>
        </is>
      </c>
      <c r="M6" s="5" t="inlineStr">
        <is>
          <t>DEPRECATED — заміняємо tile shower</t>
        </is>
      </c>
      <c r="N6" s="5" t="inlineStr"/>
      <c r="O6" s="5" t="inlineStr">
        <is>
          <t>Confirmed</t>
        </is>
      </c>
      <c r="P6" s="5" t="inlineStr">
        <is>
          <t>high</t>
        </is>
      </c>
      <c r="Q6" s="5" t="inlineStr">
        <is>
          <t>Removed: заміняємо на tile shower walls | Removed: заміняємо на tile shower walls (r38+) | Ціна збір: 2026-05-28</t>
        </is>
      </c>
    </row>
    <row r="7">
      <c r="A7" s="5" t="n">
        <v>3</v>
      </c>
      <c r="B7" s="5" t="inlineStr">
        <is>
          <t>Finish — Fixtures</t>
        </is>
      </c>
      <c r="C7" s="5" t="inlineStr">
        <is>
          <t>Shower</t>
        </is>
      </c>
      <c r="D7" s="5" t="inlineStr">
        <is>
          <t>Shower Drain (cross-ref Phase 5)</t>
        </is>
      </c>
      <c r="E7" s="5" t="inlineStr">
        <is>
          <t>Cross-ref Phase 5 r33 — не дублювати</t>
        </is>
      </c>
      <c r="F7" s="5" t="inlineStr">
        <is>
          <t>pcs</t>
        </is>
      </c>
      <c r="G7" s="27" t="n">
        <v>0</v>
      </c>
      <c r="H7" s="27" t="n">
        <v>0</v>
      </c>
      <c r="I7" s="27" t="n">
        <v>0</v>
      </c>
      <c r="J7" s="22" t="n">
        <v>0</v>
      </c>
      <c r="K7" s="22">
        <f>IF(OR(H7="",J7="",J7=0),"",H7*J7)</f>
        <v/>
      </c>
      <c r="L7" s="5" t="inlineStr">
        <is>
          <t>—</t>
        </is>
      </c>
      <c r="M7" s="5" t="inlineStr">
        <is>
          <t>Cross-ref Phase 5 r33</t>
        </is>
      </c>
      <c r="N7" s="5" t="inlineStr"/>
      <c r="O7" s="5" t="inlineStr">
        <is>
          <t>Confirmed</t>
        </is>
      </c>
      <c r="P7" s="5" t="inlineStr">
        <is>
          <t>high</t>
        </is>
      </c>
      <c r="Q7" s="5" t="inlineStr">
        <is>
          <t>Drain body+strainer assembly у Phase 5 r33 | Shower drain — Phase 5 | Ціна збір: 2026-05-28</t>
        </is>
      </c>
    </row>
    <row r="8">
      <c r="A8" s="5" t="n">
        <v>4</v>
      </c>
      <c r="B8" s="5" t="inlineStr">
        <is>
          <t>Finish — Fixtures</t>
        </is>
      </c>
      <c r="C8" s="5" t="inlineStr">
        <is>
          <t>Shower</t>
        </is>
      </c>
      <c r="D8" s="5" t="inlineStr">
        <is>
          <t>Shower Valve Body (cross-ref Phase 5)</t>
        </is>
      </c>
      <c r="E8" s="5" t="inlineStr">
        <is>
          <t>Cross-ref Phase 5 r32 — не дублювати</t>
        </is>
      </c>
      <c r="F8" s="5" t="inlineStr">
        <is>
          <t>pcs</t>
        </is>
      </c>
      <c r="G8" s="27" t="n">
        <v>0</v>
      </c>
      <c r="H8" s="27" t="n">
        <v>0</v>
      </c>
      <c r="I8" s="27" t="n">
        <v>0</v>
      </c>
      <c r="J8" s="22" t="n">
        <v>0</v>
      </c>
      <c r="K8" s="22">
        <f>IF(OR(H8="",J8="",J8=0),"",H8*J8)</f>
        <v/>
      </c>
      <c r="L8" s="5" t="inlineStr">
        <is>
          <t>—</t>
        </is>
      </c>
      <c r="M8" s="5" t="inlineStr">
        <is>
          <t>Cross-ref Phase 5 r32</t>
        </is>
      </c>
      <c r="N8" s="5" t="inlineStr"/>
      <c r="O8" s="5" t="inlineStr">
        <is>
          <t>Confirmed</t>
        </is>
      </c>
      <c r="P8" s="5" t="inlineStr">
        <is>
          <t>high</t>
        </is>
      </c>
      <c r="Q8" s="5" t="inlineStr">
        <is>
          <t>Rough-in valve body у Phase 5 r32 | Shower rough-in valve body — Phase 5 | Ціна збір: 2026-05-28</t>
        </is>
      </c>
    </row>
    <row r="9">
      <c r="A9" s="5" t="n">
        <v>5</v>
      </c>
      <c r="B9" s="5" t="inlineStr">
        <is>
          <t>Finish — Fixtures</t>
        </is>
      </c>
      <c r="C9" s="5" t="inlineStr">
        <is>
          <t>Shower</t>
        </is>
      </c>
      <c r="D9" s="5" t="inlineStr">
        <is>
          <t>Shower Trim Kit</t>
        </is>
      </c>
      <c r="E9" s="5" t="inlineStr">
        <is>
          <t>Handle + escutcheon — finish stage</t>
        </is>
      </c>
      <c r="F9" s="5" t="inlineStr">
        <is>
          <t>set</t>
        </is>
      </c>
      <c r="G9" s="27" t="n">
        <v>1</v>
      </c>
      <c r="H9" s="27" t="n">
        <v>1</v>
      </c>
      <c r="I9" s="27" t="n">
        <v>1</v>
      </c>
      <c r="J9" s="22" t="n">
        <v>80</v>
      </c>
      <c r="K9" s="22">
        <f>IF(OR(H9="",J9="",J9=0),"",H9*J9)</f>
        <v/>
      </c>
      <c r="L9" s="5" t="inlineStr">
        <is>
          <t>Home Depot</t>
        </is>
      </c>
      <c r="M9" s="5" t="inlineStr">
        <is>
          <t>Delta MultiChoice trim kit</t>
        </is>
      </c>
      <c r="N9" s="5" t="inlineStr"/>
      <c r="O9" s="5" t="inlineStr">
        <is>
          <t>TBD</t>
        </is>
      </c>
      <c r="P9" s="5" t="inlineStr">
        <is>
          <t>medium</t>
        </is>
      </c>
      <c r="Q9" s="5" t="inlineStr">
        <is>
          <t>Visible trim (different from Phase 5 valve body) | Visible handle + escutcheon plate | Ціна збір: 2026-05-28</t>
        </is>
      </c>
    </row>
    <row r="10">
      <c r="A10" s="5" t="n">
        <v>6</v>
      </c>
      <c r="B10" s="5" t="inlineStr">
        <is>
          <t>Finish — Fixtures</t>
        </is>
      </c>
      <c r="C10" s="5" t="inlineStr">
        <is>
          <t>Shower</t>
        </is>
      </c>
      <c r="D10" s="5" t="inlineStr">
        <is>
          <t>Shower Head</t>
        </is>
      </c>
      <c r="E10" s="5" t="inlineStr">
        <is>
          <t>Fixed або handheld</t>
        </is>
      </c>
      <c r="F10" s="5" t="inlineStr">
        <is>
          <t>pcs</t>
        </is>
      </c>
      <c r="G10" s="27" t="n">
        <v>1</v>
      </c>
      <c r="H10" s="27" t="n">
        <v>1</v>
      </c>
      <c r="I10" s="27" t="n">
        <v>1</v>
      </c>
      <c r="J10" s="22" t="n">
        <v>50</v>
      </c>
      <c r="K10" s="22">
        <f>IF(OR(H10="",J10="",J10=0),"",H10*J10)</f>
        <v/>
      </c>
      <c r="L10" s="5" t="inlineStr">
        <is>
          <t>Home Depot</t>
        </is>
      </c>
      <c r="M10" s="5" t="inlineStr">
        <is>
          <t>Generic shower head fixed або handheld</t>
        </is>
      </c>
      <c r="N10" s="5" t="inlineStr"/>
      <c r="O10" s="5" t="inlineStr">
        <is>
          <t>TBD</t>
        </is>
      </c>
      <c r="P10" s="5" t="inlineStr">
        <is>
          <t>medium</t>
        </is>
      </c>
      <c r="Q10" s="5" t="inlineStr">
        <is>
          <t xml:space="preserve"> | Ціна збір: 2026-05-28</t>
        </is>
      </c>
    </row>
    <row r="11">
      <c r="A11" s="5" t="n">
        <v>7</v>
      </c>
      <c r="B11" s="5" t="inlineStr">
        <is>
          <t>Finish — Fixtures</t>
        </is>
      </c>
      <c r="C11" s="5" t="inlineStr">
        <is>
          <t>Shower</t>
        </is>
      </c>
      <c r="D11" s="5" t="inlineStr">
        <is>
          <t>Waterproof Caulk / Sealant</t>
        </is>
      </c>
      <c r="E11" s="5" t="inlineStr">
        <is>
          <t>Silicone bath</t>
        </is>
      </c>
      <c r="F11" s="5" t="inlineStr">
        <is>
          <t>tubes</t>
        </is>
      </c>
      <c r="G11" s="27" t="n">
        <v>2</v>
      </c>
      <c r="H11" s="27" t="n">
        <v>3</v>
      </c>
      <c r="I11" s="27" t="n">
        <v>4</v>
      </c>
      <c r="J11" s="22" t="n">
        <v>7</v>
      </c>
      <c r="K11" s="22">
        <f>IF(OR(H11="",J11="",J11=0),"",H11*J11)</f>
        <v/>
      </c>
      <c r="L11" s="5" t="inlineStr">
        <is>
          <t>Home Depot</t>
        </is>
      </c>
      <c r="M11" s="5" t="inlineStr">
        <is>
          <t>GE Silicone II 100% silicone bath caulk</t>
        </is>
      </c>
      <c r="N11" s="5" t="inlineStr"/>
      <c r="O11" s="5" t="inlineStr">
        <is>
          <t>Confirmed</t>
        </is>
      </c>
      <c r="P11" s="5" t="inlineStr">
        <is>
          <t>medium</t>
        </is>
      </c>
      <c r="Q11" s="5" t="inlineStr">
        <is>
          <t>Per tube | Ціна збір: 2026-05-28</t>
        </is>
      </c>
    </row>
    <row r="12">
      <c r="A12" s="5" t="n">
        <v>8</v>
      </c>
      <c r="B12" s="5" t="inlineStr">
        <is>
          <t>Finish — Fixtures</t>
        </is>
      </c>
      <c r="C12" s="5" t="inlineStr">
        <is>
          <t>Toilet</t>
        </is>
      </c>
      <c r="D12" s="5" t="inlineStr">
        <is>
          <t>Toilet</t>
        </is>
      </c>
      <c r="E12" s="5" t="inlineStr">
        <is>
          <t>2-piece elongated chair-height</t>
        </is>
      </c>
      <c r="F12" s="5" t="inlineStr">
        <is>
          <t>pcs</t>
        </is>
      </c>
      <c r="G12" s="27" t="n">
        <v>1</v>
      </c>
      <c r="H12" s="27" t="n">
        <v>1</v>
      </c>
      <c r="I12" s="27" t="n">
        <v>1</v>
      </c>
      <c r="J12" s="22" t="n">
        <v>200</v>
      </c>
      <c r="K12" s="22">
        <f>IF(OR(H12="",J12="",J12=0),"",H12*J12)</f>
        <v/>
      </c>
      <c r="L12" s="5" t="inlineStr">
        <is>
          <t>Home Depot</t>
        </is>
      </c>
      <c r="M12" s="5" t="inlineStr">
        <is>
          <t>Glacier Bay 2-piece elongated chair-height</t>
        </is>
      </c>
      <c r="N12" s="5" t="inlineStr"/>
      <c r="O12" s="5" t="inlineStr">
        <is>
          <t>Confirmed</t>
        </is>
      </c>
      <c r="P12" s="5" t="inlineStr">
        <is>
          <t>medium</t>
        </is>
      </c>
      <c r="Q12" s="5" t="inlineStr">
        <is>
          <t>Basic toilet $150-300 | Ціна збір: 2026-05-28</t>
        </is>
      </c>
    </row>
    <row r="13">
      <c r="A13" s="5" t="n">
        <v>9</v>
      </c>
      <c r="B13" s="5" t="inlineStr">
        <is>
          <t>Finish — Fixtures</t>
        </is>
      </c>
      <c r="C13" s="5" t="inlineStr">
        <is>
          <t>Toilet</t>
        </is>
      </c>
      <c r="D13" s="5" t="inlineStr">
        <is>
          <t>Toilet Supply Line</t>
        </is>
      </c>
      <c r="E13" s="5" t="inlineStr">
        <is>
          <t>Flex braided</t>
        </is>
      </c>
      <c r="F13" s="5" t="inlineStr">
        <is>
          <t>pcs</t>
        </is>
      </c>
      <c r="G13" s="27" t="n">
        <v>1</v>
      </c>
      <c r="H13" s="27" t="n">
        <v>1</v>
      </c>
      <c r="I13" s="27" t="n">
        <v>1</v>
      </c>
      <c r="J13" s="22" t="n">
        <v>8</v>
      </c>
      <c r="K13" s="22">
        <f>IF(OR(H13="",J13="",J13=0),"",H13*J13)</f>
        <v/>
      </c>
      <c r="L13" s="5" t="inlineStr">
        <is>
          <t>Home Depot</t>
        </is>
      </c>
      <c r="M13" s="5" t="inlineStr">
        <is>
          <t>Generic braided supply line 12"</t>
        </is>
      </c>
      <c r="N13" s="5" t="inlineStr"/>
      <c r="O13" s="5" t="inlineStr">
        <is>
          <t>Confirmed</t>
        </is>
      </c>
      <c r="P13" s="5" t="inlineStr">
        <is>
          <t>medium</t>
        </is>
      </c>
      <c r="Q13" s="5" t="inlineStr">
        <is>
          <t xml:space="preserve"> | Ціна збір: 2026-05-28</t>
        </is>
      </c>
    </row>
    <row r="14">
      <c r="A14" s="5" t="n">
        <v>10</v>
      </c>
      <c r="B14" s="5" t="inlineStr">
        <is>
          <t>Finish — Fixtures</t>
        </is>
      </c>
      <c r="C14" s="5" t="inlineStr">
        <is>
          <t>Vanity</t>
        </is>
      </c>
      <c r="D14" s="5" t="inlineStr">
        <is>
          <t>Vanity Cabinet 24"</t>
        </is>
      </c>
      <c r="E14" s="5" t="inlineStr">
        <is>
          <t>Home Decorators / Glacier Bay</t>
        </is>
      </c>
      <c r="F14" s="5" t="inlineStr">
        <is>
          <t>pcs</t>
        </is>
      </c>
      <c r="G14" s="27" t="n">
        <v>1</v>
      </c>
      <c r="H14" s="27" t="n">
        <v>1</v>
      </c>
      <c r="I14" s="27" t="n">
        <v>1</v>
      </c>
      <c r="J14" s="22" t="n">
        <v>200</v>
      </c>
      <c r="K14" s="22">
        <f>IF(OR(H14="",J14="",J14=0),"",H14*J14)</f>
        <v/>
      </c>
      <c r="L14" s="5" t="inlineStr">
        <is>
          <t>Home Depot / IKEA</t>
        </is>
      </c>
      <c r="M14" s="5" t="inlineStr">
        <is>
          <t>Home Decorators Doveton 24" vanity</t>
        </is>
      </c>
      <c r="N14" s="5" t="inlineStr">
        <is>
          <t>https://www.homedepot.com/p/Home-Decorators-Collection-Doveton-24-in-Single-Sink-Freestanding-White-Bath-Vanity-with-White-Engineered-Marble-Top-Assembled-Doveton-24W/324252515</t>
        </is>
      </c>
      <c r="O14" s="5" t="inlineStr">
        <is>
          <t>Confirmed</t>
        </is>
      </c>
      <c r="P14" s="5" t="inlineStr">
        <is>
          <t>high</t>
        </is>
      </c>
      <c r="Q14" s="5" t="inlineStr">
        <is>
          <t>HD combo $349-449 includes top+sink+backsplash | $299-349 combo з top+sink (split here as r14+r15) | Ціна збір: 2026-05-28</t>
        </is>
      </c>
    </row>
    <row r="15">
      <c r="A15" s="5" t="n">
        <v>11</v>
      </c>
      <c r="B15" s="5" t="inlineStr">
        <is>
          <t>Finish — Fixtures</t>
        </is>
      </c>
      <c r="C15" s="5" t="inlineStr">
        <is>
          <t>Vanity</t>
        </is>
      </c>
      <c r="D15" s="5" t="inlineStr">
        <is>
          <t>Vanity Top / Sink</t>
        </is>
      </c>
      <c r="E15" s="5" t="inlineStr">
        <is>
          <t>Integrated cultured marble / quartz</t>
        </is>
      </c>
      <c r="F15" s="5" t="inlineStr">
        <is>
          <t>pcs</t>
        </is>
      </c>
      <c r="G15" s="27" t="n">
        <v>1</v>
      </c>
      <c r="H15" s="27" t="n">
        <v>1</v>
      </c>
      <c r="I15" s="27" t="n">
        <v>1</v>
      </c>
      <c r="J15" s="22" t="n">
        <v>150</v>
      </c>
      <c r="K15" s="22">
        <f>IF(OR(H15="",J15="",J15=0),"",H15*J15)</f>
        <v/>
      </c>
      <c r="L15" s="5" t="inlineStr">
        <is>
          <t>Home Depot / IKEA</t>
        </is>
      </c>
      <c r="M15" s="5" t="inlineStr">
        <is>
          <t>Engineered marble top + integrated sink</t>
        </is>
      </c>
      <c r="N15" s="5" t="inlineStr"/>
      <c r="O15" s="5" t="inlineStr">
        <is>
          <t>Confirmed</t>
        </is>
      </c>
      <c r="P15" s="5" t="inlineStr">
        <is>
          <t>medium</t>
        </is>
      </c>
      <c r="Q15" s="5" t="inlineStr">
        <is>
          <t>Часто sold з cabinet в combo | Combined HD price з vanity | Ціна збір: 2026-05-28</t>
        </is>
      </c>
    </row>
    <row r="16">
      <c r="A16" s="5" t="n">
        <v>12</v>
      </c>
      <c r="B16" s="5" t="inlineStr">
        <is>
          <t>Finish — Fixtures</t>
        </is>
      </c>
      <c r="C16" s="5" t="inlineStr">
        <is>
          <t>Vanity</t>
        </is>
      </c>
      <c r="D16" s="5" t="inlineStr">
        <is>
          <t>Vanity Faucet</t>
        </is>
      </c>
      <c r="E16" s="5" t="inlineStr">
        <is>
          <t>Single-handle</t>
        </is>
      </c>
      <c r="F16" s="5" t="inlineStr">
        <is>
          <t>pcs</t>
        </is>
      </c>
      <c r="G16" s="27" t="n">
        <v>1</v>
      </c>
      <c r="H16" s="27" t="n">
        <v>1</v>
      </c>
      <c r="I16" s="27" t="n">
        <v>1</v>
      </c>
      <c r="J16" s="22" t="n">
        <v>100</v>
      </c>
      <c r="K16" s="22">
        <f>IF(OR(H16="",J16="",J16=0),"",H16*J16)</f>
        <v/>
      </c>
      <c r="L16" s="5" t="inlineStr">
        <is>
          <t>Home Depot</t>
        </is>
      </c>
      <c r="M16" s="5" t="inlineStr">
        <is>
          <t>Glacier Bay/Moen single-handle vanity faucet</t>
        </is>
      </c>
      <c r="N16" s="5" t="inlineStr"/>
      <c r="O16" s="5" t="inlineStr">
        <is>
          <t>Confirmed</t>
        </is>
      </c>
      <c r="P16" s="5" t="inlineStr">
        <is>
          <t>medium</t>
        </is>
      </c>
      <c r="Q16" s="5" t="inlineStr">
        <is>
          <t xml:space="preserve"> | Ціна збір: 2026-05-28</t>
        </is>
      </c>
    </row>
    <row r="17">
      <c r="A17" s="5" t="n">
        <v>13</v>
      </c>
      <c r="B17" s="5" t="inlineStr">
        <is>
          <t>Finish — Fixtures</t>
        </is>
      </c>
      <c r="C17" s="5" t="inlineStr">
        <is>
          <t>Vanity</t>
        </is>
      </c>
      <c r="D17" s="5" t="inlineStr">
        <is>
          <t>P-trap (cross-ref Phase 5)</t>
        </is>
      </c>
      <c r="E17" s="5" t="inlineStr">
        <is>
          <t>Cross-ref Phase 5 r14 — qty 0</t>
        </is>
      </c>
      <c r="F17" s="5" t="inlineStr">
        <is>
          <t>pcs</t>
        </is>
      </c>
      <c r="G17" s="27" t="n">
        <v>0</v>
      </c>
      <c r="H17" s="27" t="n">
        <v>0</v>
      </c>
      <c r="I17" s="27" t="n">
        <v>0</v>
      </c>
      <c r="J17" s="22" t="n">
        <v>8</v>
      </c>
      <c r="K17" s="22">
        <f>IF(OR(H17="",J17="",J17=0),"",H17*J17)</f>
        <v/>
      </c>
      <c r="L17" s="5" t="inlineStr">
        <is>
          <t>—</t>
        </is>
      </c>
      <c r="M17" s="5" t="inlineStr">
        <is>
          <t>Generic 1.5" P-trap kit</t>
        </is>
      </c>
      <c r="N17" s="5" t="inlineStr"/>
      <c r="O17" s="5" t="inlineStr">
        <is>
          <t>Confirmed</t>
        </is>
      </c>
      <c r="P17" s="5" t="inlineStr">
        <is>
          <t>medium</t>
        </is>
      </c>
      <c r="Q17" s="5" t="inlineStr">
        <is>
          <t>P-trap включений у Phase 5 r14 (4 P-traps total: shower+vanity+kitchen+washer) | Bathroom small allowance | Ціна збір: 2026-05-28</t>
        </is>
      </c>
    </row>
    <row r="18">
      <c r="A18" s="5" t="n">
        <v>14</v>
      </c>
      <c r="B18" s="5" t="inlineStr">
        <is>
          <t>Finish — Fixtures</t>
        </is>
      </c>
      <c r="C18" s="5" t="inlineStr">
        <is>
          <t>Vanity</t>
        </is>
      </c>
      <c r="D18" s="5" t="inlineStr">
        <is>
          <t>Shut-off Valves (cross-ref Phase 5)</t>
        </is>
      </c>
      <c r="E18" s="5" t="inlineStr">
        <is>
          <t>Cross-ref Phase 5 r8 — qty 0</t>
        </is>
      </c>
      <c r="F18" s="5" t="inlineStr">
        <is>
          <t>pcs</t>
        </is>
      </c>
      <c r="G18" s="27" t="n">
        <v>0</v>
      </c>
      <c r="H18" s="27" t="n">
        <v>0</v>
      </c>
      <c r="I18" s="27" t="n">
        <v>0</v>
      </c>
      <c r="J18" s="22" t="n">
        <v>7</v>
      </c>
      <c r="K18" s="22">
        <f>IF(OR(H18="",J18="",J18=0),"",H18*J18)</f>
        <v/>
      </c>
      <c r="L18" s="5" t="inlineStr">
        <is>
          <t>—</t>
        </is>
      </c>
      <c r="M18" s="5" t="inlineStr">
        <is>
          <t>Apollo PEX angle stop 1/2"</t>
        </is>
      </c>
      <c r="N18" s="5" t="inlineStr"/>
      <c r="O18" s="5" t="inlineStr">
        <is>
          <t>Confirmed</t>
        </is>
      </c>
      <c r="P18" s="5" t="inlineStr">
        <is>
          <t>medium</t>
        </is>
      </c>
      <c r="Q18" s="5" t="inlineStr">
        <is>
          <t>Shut-offs включені у Phase 5 r8 (19 total covers all fixtures) | Per valve | Ціна збір: 2026-05-28</t>
        </is>
      </c>
    </row>
    <row r="19">
      <c r="A19" s="5" t="n">
        <v>15</v>
      </c>
      <c r="B19" s="5" t="inlineStr">
        <is>
          <t>Finish — Fixtures</t>
        </is>
      </c>
      <c r="C19" s="5" t="inlineStr">
        <is>
          <t>Accessories</t>
        </is>
      </c>
      <c r="D19" s="5" t="inlineStr">
        <is>
          <t>Mirror</t>
        </is>
      </c>
      <c r="E19" s="5" t="inlineStr">
        <is>
          <t>Frameless або basic framed</t>
        </is>
      </c>
      <c r="F19" s="5" t="inlineStr">
        <is>
          <t>pcs</t>
        </is>
      </c>
      <c r="G19" s="27" t="n">
        <v>1</v>
      </c>
      <c r="H19" s="27" t="n">
        <v>1</v>
      </c>
      <c r="I19" s="27" t="n">
        <v>1</v>
      </c>
      <c r="J19" s="22" t="n">
        <v>60</v>
      </c>
      <c r="K19" s="22">
        <f>IF(OR(H19="",J19="",J19=0),"",H19*J19)</f>
        <v/>
      </c>
      <c r="L19" s="5" t="inlineStr">
        <is>
          <t>Home Depot / IKEA</t>
        </is>
      </c>
      <c r="M19" s="5" t="inlineStr">
        <is>
          <t>Generic mirror 24x30 framed</t>
        </is>
      </c>
      <c r="N19" s="5" t="inlineStr"/>
      <c r="O19" s="5" t="inlineStr">
        <is>
          <t>Confirmed</t>
        </is>
      </c>
      <c r="P19" s="5" t="inlineStr">
        <is>
          <t>medium</t>
        </is>
      </c>
      <c r="Q19" s="5" t="inlineStr">
        <is>
          <t xml:space="preserve"> | Ціна збір: 2026-05-28</t>
        </is>
      </c>
    </row>
    <row r="20">
      <c r="A20" s="5" t="n">
        <v>16</v>
      </c>
      <c r="B20" s="5" t="inlineStr">
        <is>
          <t>Finish — Fixtures</t>
        </is>
      </c>
      <c r="C20" s="5" t="inlineStr">
        <is>
          <t>Accessories</t>
        </is>
      </c>
      <c r="D20" s="5" t="inlineStr">
        <is>
          <t>Towel Bar / Hooks</t>
        </is>
      </c>
      <c r="E20" s="5" t="inlineStr">
        <is>
          <t>Set 24" bar + 2 hooks</t>
        </is>
      </c>
      <c r="F20" s="5" t="inlineStr">
        <is>
          <t>set</t>
        </is>
      </c>
      <c r="G20" s="27" t="n">
        <v>1</v>
      </c>
      <c r="H20" s="27" t="n">
        <v>1</v>
      </c>
      <c r="I20" s="27" t="n">
        <v>1</v>
      </c>
      <c r="J20" s="22" t="n">
        <v>40</v>
      </c>
      <c r="K20" s="22">
        <f>IF(OR(H20="",J20="",J20=0),"",H20*J20)</f>
        <v/>
      </c>
      <c r="L20" s="5" t="inlineStr">
        <is>
          <t>Home Depot / IKEA</t>
        </is>
      </c>
      <c r="M20" s="5" t="inlineStr">
        <is>
          <t>Generic 24" towel bar + 2 hooks set</t>
        </is>
      </c>
      <c r="N20" s="5" t="inlineStr"/>
      <c r="O20" s="5" t="inlineStr">
        <is>
          <t>Confirmed</t>
        </is>
      </c>
      <c r="P20" s="5" t="inlineStr">
        <is>
          <t>medium</t>
        </is>
      </c>
      <c r="Q20" s="5" t="inlineStr">
        <is>
          <t xml:space="preserve"> | Ціна збір: 2026-05-28</t>
        </is>
      </c>
    </row>
    <row r="21">
      <c r="A21" s="5" t="n">
        <v>17</v>
      </c>
      <c r="B21" s="5" t="inlineStr">
        <is>
          <t>Finish — Fixtures</t>
        </is>
      </c>
      <c r="C21" s="5" t="inlineStr">
        <is>
          <t>Accessories</t>
        </is>
      </c>
      <c r="D21" s="5" t="inlineStr">
        <is>
          <t>Toilet Paper Holder</t>
        </is>
      </c>
      <c r="E21" s="5" t="inlineStr"/>
      <c r="F21" s="5" t="inlineStr">
        <is>
          <t>pcs</t>
        </is>
      </c>
      <c r="G21" s="27" t="n">
        <v>1</v>
      </c>
      <c r="H21" s="27" t="n">
        <v>1</v>
      </c>
      <c r="I21" s="27" t="n">
        <v>1</v>
      </c>
      <c r="J21" s="22" t="n">
        <v>20</v>
      </c>
      <c r="K21" s="22">
        <f>IF(OR(H21="",J21="",J21=0),"",H21*J21)</f>
        <v/>
      </c>
      <c r="L21" s="5" t="inlineStr">
        <is>
          <t>Home Depot / IKEA</t>
        </is>
      </c>
      <c r="M21" s="5" t="inlineStr">
        <is>
          <t>Generic toilet paper holder</t>
        </is>
      </c>
      <c r="N21" s="5" t="inlineStr"/>
      <c r="O21" s="5" t="inlineStr">
        <is>
          <t>Confirmed</t>
        </is>
      </c>
      <c r="P21" s="5" t="inlineStr">
        <is>
          <t>medium</t>
        </is>
      </c>
      <c r="Q21" s="5" t="inlineStr">
        <is>
          <t xml:space="preserve"> | Ціна збір: 2026-05-28</t>
        </is>
      </c>
    </row>
    <row r="22">
      <c r="A22" s="5" t="n">
        <v>18</v>
      </c>
      <c r="B22" s="5" t="inlineStr">
        <is>
          <t>Finish — Fixtures</t>
        </is>
      </c>
      <c r="C22" s="5" t="inlineStr">
        <is>
          <t>Ventilation</t>
        </is>
      </c>
      <c r="D22" s="5" t="inlineStr">
        <is>
          <t>Bathroom Exhaust Fan</t>
        </is>
      </c>
      <c r="E22" s="5" t="inlineStr">
        <is>
          <t>80 CFM з timer compatible</t>
        </is>
      </c>
      <c r="F22" s="5" t="inlineStr">
        <is>
          <t>pcs</t>
        </is>
      </c>
      <c r="G22" s="27" t="n">
        <v>1</v>
      </c>
      <c r="H22" s="27" t="n">
        <v>1</v>
      </c>
      <c r="I22" s="27" t="n">
        <v>1</v>
      </c>
      <c r="J22" s="22" t="n">
        <v>100</v>
      </c>
      <c r="K22" s="22">
        <f>IF(OR(H22="",J22="",J22=0),"",H22*J22)</f>
        <v/>
      </c>
      <c r="L22" s="5" t="inlineStr">
        <is>
          <t>Home Depot</t>
        </is>
      </c>
      <c r="M22" s="5" t="inlineStr">
        <is>
          <t>Broan 80 CFM exhaust fan</t>
        </is>
      </c>
      <c r="N22" s="5" t="inlineStr"/>
      <c r="O22" s="5" t="inlineStr">
        <is>
          <t>Confirmed</t>
        </is>
      </c>
      <c r="P22" s="5" t="inlineStr">
        <is>
          <t>medium</t>
        </is>
      </c>
      <c r="Q22" s="5" t="inlineStr">
        <is>
          <t>Timer switch у Phase 6 r16 | Energy Star bath fan | Ціна збір: 2026-05-28</t>
        </is>
      </c>
    </row>
    <row r="23">
      <c r="A23" s="5" t="n">
        <v>19</v>
      </c>
      <c r="B23" s="5" t="inlineStr">
        <is>
          <t>Finish — Fixtures</t>
        </is>
      </c>
      <c r="C23" s="5" t="inlineStr">
        <is>
          <t>Ventilation</t>
        </is>
      </c>
      <c r="D23" s="5" t="inlineStr">
        <is>
          <t>Fan Duct + Wall/Roof Cap</t>
        </is>
      </c>
      <c r="E23" s="5" t="inlineStr">
        <is>
          <t>Flex duct + exterior cap</t>
        </is>
      </c>
      <c r="F23" s="5" t="inlineStr">
        <is>
          <t>set</t>
        </is>
      </c>
      <c r="G23" s="27" t="n">
        <v>1</v>
      </c>
      <c r="H23" s="27" t="n">
        <v>1</v>
      </c>
      <c r="I23" s="27" t="n">
        <v>1</v>
      </c>
      <c r="J23" s="22" t="n">
        <v>30</v>
      </c>
      <c r="K23" s="22">
        <f>IF(OR(H23="",J23="",J23=0),"",H23*J23)</f>
        <v/>
      </c>
      <c r="L23" s="5" t="inlineStr">
        <is>
          <t>Home Depot</t>
        </is>
      </c>
      <c r="M23" s="5" t="inlineStr">
        <is>
          <t>Generic 4" flex duct + wall cap</t>
        </is>
      </c>
      <c r="N23" s="5" t="inlineStr"/>
      <c r="O23" s="5" t="inlineStr">
        <is>
          <t>Confirmed</t>
        </is>
      </c>
      <c r="P23" s="5" t="inlineStr">
        <is>
          <t>medium</t>
        </is>
      </c>
      <c r="Q23" s="5" t="inlineStr">
        <is>
          <t xml:space="preserve"> | Ціна збір: 2026-05-28</t>
        </is>
      </c>
    </row>
    <row r="24">
      <c r="A24" s="5" t="n">
        <v>20</v>
      </c>
      <c r="B24" s="5" t="inlineStr">
        <is>
          <t>Finish — Fixtures</t>
        </is>
      </c>
      <c r="C24" s="5" t="inlineStr">
        <is>
          <t>Shower</t>
        </is>
      </c>
      <c r="D24" s="5" t="inlineStr">
        <is>
          <t>Shower Curtain Rod + Curtain</t>
        </is>
      </c>
      <c r="E24" s="5" t="inlineStr">
        <is>
          <t>Budget enclosure (glass door alternative $300-800)</t>
        </is>
      </c>
      <c r="F24" s="5" t="inlineStr">
        <is>
          <t>set</t>
        </is>
      </c>
      <c r="G24" s="27" t="n">
        <v>1</v>
      </c>
      <c r="H24" s="27" t="n">
        <v>1</v>
      </c>
      <c r="I24" s="27" t="n">
        <v>1</v>
      </c>
      <c r="J24" s="22" t="n">
        <v>35</v>
      </c>
      <c r="K24" s="22">
        <f>IF(OR(H24="",J24="",J24=0),"",H24*J24)</f>
        <v/>
      </c>
      <c r="L24" s="5" t="inlineStr">
        <is>
          <t>Home Depot / IKEA</t>
        </is>
      </c>
      <c r="M24" s="5" t="inlineStr">
        <is>
          <t>Generic shower curtain rod + curtain</t>
        </is>
      </c>
      <c r="N24" s="5" t="inlineStr"/>
      <c r="O24" s="5" t="inlineStr">
        <is>
          <t>Confirmed</t>
        </is>
      </c>
      <c r="P24" s="5" t="inlineStr">
        <is>
          <t>medium</t>
        </is>
      </c>
      <c r="Q24" s="5" t="inlineStr">
        <is>
          <t>ДОДАНО: budget option. Glass door — Optional upgrade | ДОДАНО: budget enclosure | Ціна збір: 2026-05-28</t>
        </is>
      </c>
    </row>
    <row r="25">
      <c r="A25" s="5" t="n">
        <v>21</v>
      </c>
      <c r="B25" s="5" t="inlineStr">
        <is>
          <t>Finish — Fixtures</t>
        </is>
      </c>
      <c r="C25" s="5" t="inlineStr">
        <is>
          <t>Toilet</t>
        </is>
      </c>
      <c r="D25" s="5" t="inlineStr">
        <is>
          <t>Toilet Wax Ring + Sealing</t>
        </is>
      </c>
      <c r="E25" s="5" t="inlineStr">
        <is>
          <t>Mandatory install component</t>
        </is>
      </c>
      <c r="F25" s="5" t="inlineStr">
        <is>
          <t>set</t>
        </is>
      </c>
      <c r="G25" s="27" t="n">
        <v>1</v>
      </c>
      <c r="H25" s="27" t="n">
        <v>1</v>
      </c>
      <c r="I25" s="27" t="n">
        <v>1</v>
      </c>
      <c r="J25" s="22" t="n">
        <v>7</v>
      </c>
      <c r="K25" s="22">
        <f>IF(OR(H25="",J25="",J25=0),"",H25*J25)</f>
        <v/>
      </c>
      <c r="L25" s="5" t="inlineStr">
        <is>
          <t>Home Depot</t>
        </is>
      </c>
      <c r="M25" s="5" t="inlineStr">
        <is>
          <t>Oatey wax ring + sealing kit</t>
        </is>
      </c>
      <c r="N25" s="5" t="inlineStr"/>
      <c r="O25" s="5" t="inlineStr">
        <is>
          <t>Confirmed</t>
        </is>
      </c>
      <c r="P25" s="5" t="inlineStr">
        <is>
          <t>medium</t>
        </is>
      </c>
      <c r="Q25" s="5" t="inlineStr">
        <is>
          <t>ДОДАНО | ДОДАНО | Ціна збір: 2026-05-28</t>
        </is>
      </c>
    </row>
    <row r="26">
      <c r="A26" s="5" t="n">
        <v>22</v>
      </c>
      <c r="B26" s="5" t="inlineStr">
        <is>
          <t>Finish — Fixtures</t>
        </is>
      </c>
      <c r="C26" s="5" t="inlineStr">
        <is>
          <t>Toilet</t>
        </is>
      </c>
      <c r="D26" s="5" t="inlineStr">
        <is>
          <t>Toilet Seat</t>
        </is>
      </c>
      <c r="E26" s="5" t="inlineStr">
        <is>
          <t>Часто NOT included з toilet</t>
        </is>
      </c>
      <c r="F26" s="5" t="inlineStr">
        <is>
          <t>pcs</t>
        </is>
      </c>
      <c r="G26" s="27" t="n">
        <v>1</v>
      </c>
      <c r="H26" s="27" t="n">
        <v>1</v>
      </c>
      <c r="I26" s="27" t="n">
        <v>1</v>
      </c>
      <c r="J26" s="22" t="n">
        <v>30</v>
      </c>
      <c r="K26" s="22">
        <f>IF(OR(H26="",J26="",J26=0),"",H26*J26)</f>
        <v/>
      </c>
      <c r="L26" s="5" t="inlineStr">
        <is>
          <t>Home Depot</t>
        </is>
      </c>
      <c r="M26" s="5" t="inlineStr">
        <is>
          <t>Bemis/generic toilet seat</t>
        </is>
      </c>
      <c r="N26" s="5" t="inlineStr"/>
      <c r="O26" s="5" t="inlineStr">
        <is>
          <t>Confirmed</t>
        </is>
      </c>
      <c r="P26" s="5" t="inlineStr">
        <is>
          <t>medium</t>
        </is>
      </c>
      <c r="Q26" s="5" t="inlineStr">
        <is>
          <t>ДОДАНО | ДОДАНО: NOT included з toilet | Ціна збір: 2026-05-28</t>
        </is>
      </c>
    </row>
    <row r="27">
      <c r="A27" s="5" t="n">
        <v>23</v>
      </c>
      <c r="B27" s="5" t="inlineStr">
        <is>
          <t>Finish — Fixtures</t>
        </is>
      </c>
      <c r="C27" s="5" t="inlineStr">
        <is>
          <t>Toilet</t>
        </is>
      </c>
      <c r="D27" s="5" t="inlineStr">
        <is>
          <t>Toilet Bolts / Caps</t>
        </is>
      </c>
      <c r="E27" s="5" t="inlineStr">
        <is>
          <t>Small allowance</t>
        </is>
      </c>
      <c r="F27" s="5" t="inlineStr">
        <is>
          <t>set</t>
        </is>
      </c>
      <c r="G27" s="27" t="n">
        <v>1</v>
      </c>
      <c r="H27" s="27" t="n">
        <v>1</v>
      </c>
      <c r="I27" s="27" t="n">
        <v>1</v>
      </c>
      <c r="J27" s="22" t="n">
        <v>5</v>
      </c>
      <c r="K27" s="22">
        <f>IF(OR(H27="",J27="",J27=0),"",H27*J27)</f>
        <v/>
      </c>
      <c r="L27" s="5" t="inlineStr">
        <is>
          <t>Home Depot</t>
        </is>
      </c>
      <c r="M27" s="5" t="inlineStr">
        <is>
          <t>Generic toilet bolts + caps</t>
        </is>
      </c>
      <c r="N27" s="5" t="inlineStr"/>
      <c r="O27" s="5" t="inlineStr">
        <is>
          <t>Confirmed</t>
        </is>
      </c>
      <c r="P27" s="5" t="inlineStr">
        <is>
          <t>medium</t>
        </is>
      </c>
      <c r="Q27" s="5" t="inlineStr">
        <is>
          <t>ДОДАНО | ДОДАНО | Ціна збір: 2026-05-28</t>
        </is>
      </c>
    </row>
    <row r="28">
      <c r="A28" s="5" t="n">
        <v>24</v>
      </c>
      <c r="B28" s="5" t="inlineStr">
        <is>
          <t>Finish — Fixtures</t>
        </is>
      </c>
      <c r="C28" s="5" t="inlineStr">
        <is>
          <t>Vanity</t>
        </is>
      </c>
      <c r="D28" s="5" t="inlineStr">
        <is>
          <t>Vanity Mount Hardware</t>
        </is>
      </c>
      <c r="E28" s="5" t="inlineStr">
        <is>
          <t>Wall anchors якщо потрібно</t>
        </is>
      </c>
      <c r="F28" s="5" t="inlineStr">
        <is>
          <t>set</t>
        </is>
      </c>
      <c r="G28" s="27" t="n">
        <v>1</v>
      </c>
      <c r="H28" s="27" t="n">
        <v>1</v>
      </c>
      <c r="I28" s="27" t="n">
        <v>1</v>
      </c>
      <c r="J28" s="22" t="n">
        <v>15</v>
      </c>
      <c r="K28" s="22">
        <f>IF(OR(H28="",J28="",J28=0),"",H28*J28)</f>
        <v/>
      </c>
      <c r="L28" s="5" t="inlineStr">
        <is>
          <t>Home Depot</t>
        </is>
      </c>
      <c r="M28" s="5" t="inlineStr">
        <is>
          <t>Generic vanity wall mount anchors</t>
        </is>
      </c>
      <c r="N28" s="5" t="inlineStr"/>
      <c r="O28" s="5" t="inlineStr">
        <is>
          <t>Confirmed</t>
        </is>
      </c>
      <c r="P28" s="5" t="inlineStr">
        <is>
          <t>medium</t>
        </is>
      </c>
      <c r="Q28" s="5" t="inlineStr">
        <is>
          <t>ДОДАНО | ДОДАНО | Ціна збір: 2026-05-28</t>
        </is>
      </c>
    </row>
    <row r="29">
      <c r="A29" s="5" t="n">
        <v>25</v>
      </c>
      <c r="B29" s="5" t="inlineStr">
        <is>
          <t>Finish — Fixtures</t>
        </is>
      </c>
      <c r="C29" s="5" t="inlineStr">
        <is>
          <t>Vanity</t>
        </is>
      </c>
      <c r="D29" s="5" t="inlineStr">
        <is>
          <t>Vanity Backsplash Allowance (Optional)</t>
        </is>
      </c>
      <c r="E29" s="5" t="inlineStr">
        <is>
          <t>Small tile або solid</t>
        </is>
      </c>
      <c r="F29" s="5" t="inlineStr">
        <is>
          <t>set</t>
        </is>
      </c>
      <c r="G29" s="27" t="n">
        <v>0</v>
      </c>
      <c r="H29" s="27" t="n">
        <v>0</v>
      </c>
      <c r="I29" s="27" t="n">
        <v>1</v>
      </c>
      <c r="J29" s="22" t="n">
        <v>50</v>
      </c>
      <c r="K29" s="22">
        <f>IF(OR(H29="",J29="",J29=0),"",H29*J29)</f>
        <v/>
      </c>
      <c r="L29" s="5" t="inlineStr">
        <is>
          <t>Home Depot</t>
        </is>
      </c>
      <c r="M29" s="5" t="inlineStr">
        <is>
          <t>Vanity backsplash tile (Optional)</t>
        </is>
      </c>
      <c r="N29" s="5" t="inlineStr"/>
      <c r="O29" s="5" t="inlineStr">
        <is>
          <t>Optional</t>
        </is>
      </c>
      <c r="P29" s="5" t="inlineStr">
        <is>
          <t>medium</t>
        </is>
      </c>
      <c r="Q29" s="5" t="inlineStr">
        <is>
          <t>ДОДАНО: usually included з vanity combo | ДОДАНО | Ціна збір: 2026-05-28</t>
        </is>
      </c>
    </row>
    <row r="30">
      <c r="A30" s="5" t="n">
        <v>26</v>
      </c>
      <c r="B30" s="5" t="inlineStr">
        <is>
          <t>Finish — Fixtures</t>
        </is>
      </c>
      <c r="C30" s="5" t="inlineStr">
        <is>
          <t>Accessories</t>
        </is>
      </c>
      <c r="D30" s="5" t="inlineStr">
        <is>
          <t>Robe Hook (Optional)</t>
        </is>
      </c>
      <c r="E30" s="5" t="inlineStr">
        <is>
          <t>1-2 hooks</t>
        </is>
      </c>
      <c r="F30" s="5" t="inlineStr">
        <is>
          <t>pcs</t>
        </is>
      </c>
      <c r="G30" s="27" t="n">
        <v>0</v>
      </c>
      <c r="H30" s="27" t="n">
        <v>0</v>
      </c>
      <c r="I30" s="27" t="n">
        <v>2</v>
      </c>
      <c r="J30" s="22" t="n">
        <v>15</v>
      </c>
      <c r="K30" s="22">
        <f>IF(OR(H30="",J30="",J30=0),"",H30*J30)</f>
        <v/>
      </c>
      <c r="L30" s="5" t="inlineStr">
        <is>
          <t>Home Depot / IKEA</t>
        </is>
      </c>
      <c r="M30" s="5" t="inlineStr">
        <is>
          <t>Generic robe hook</t>
        </is>
      </c>
      <c r="N30" s="5" t="inlineStr"/>
      <c r="O30" s="5" t="inlineStr">
        <is>
          <t>Optional</t>
        </is>
      </c>
      <c r="P30" s="5" t="inlineStr">
        <is>
          <t>medium</t>
        </is>
      </c>
      <c r="Q30" s="5" t="inlineStr">
        <is>
          <t>ДОДАНО | ДОДАНО | Ціна збір: 2026-05-28</t>
        </is>
      </c>
    </row>
    <row r="31">
      <c r="A31" s="5" t="n">
        <v>27</v>
      </c>
      <c r="B31" s="5" t="inlineStr">
        <is>
          <t>Finish — Fixtures</t>
        </is>
      </c>
      <c r="C31" s="5" t="inlineStr">
        <is>
          <t>Vanity</t>
        </is>
      </c>
      <c r="D31" s="5" t="inlineStr">
        <is>
          <t>Vanity Pop-up Drain Assembly</t>
        </is>
      </c>
      <c r="E31" s="5" t="inlineStr">
        <is>
          <t>Якщо faucet не включає drain</t>
        </is>
      </c>
      <c r="F31" s="5" t="inlineStr">
        <is>
          <t>pcs</t>
        </is>
      </c>
      <c r="G31" s="27" t="n">
        <v>0</v>
      </c>
      <c r="H31" s="27" t="n">
        <v>1</v>
      </c>
      <c r="I31" s="27" t="n">
        <v>1</v>
      </c>
      <c r="J31" s="22" t="n">
        <v>15</v>
      </c>
      <c r="K31" s="22">
        <f>IF(OR(H31="",J31="",J31=0),"",H31*J31)</f>
        <v/>
      </c>
      <c r="L31" s="5" t="inlineStr">
        <is>
          <t>Home Depot</t>
        </is>
      </c>
      <c r="M31" s="5" t="inlineStr">
        <is>
          <t>Generic vanity pop-up drain assembly</t>
        </is>
      </c>
      <c r="N31" s="5" t="inlineStr"/>
      <c r="O31" s="5" t="inlineStr">
        <is>
          <t>Confirmed</t>
        </is>
      </c>
      <c r="P31" s="5" t="inlineStr">
        <is>
          <t>medium</t>
        </is>
      </c>
      <c r="Q31" s="5" t="inlineStr">
        <is>
          <t>ДОДАНО (review) | ДОДАНО (review) | Ціна збір: 2026-05-28</t>
        </is>
      </c>
    </row>
    <row r="32">
      <c r="A32" s="5" t="n">
        <v>28</v>
      </c>
      <c r="B32" s="5" t="inlineStr">
        <is>
          <t>Finish — Fixtures</t>
        </is>
      </c>
      <c r="C32" s="5" t="inlineStr">
        <is>
          <t>Vanity</t>
        </is>
      </c>
      <c r="D32" s="5" t="inlineStr">
        <is>
          <t>Vanity Faucet Supply Lines</t>
        </is>
      </c>
      <c r="E32" s="5" t="inlineStr">
        <is>
          <t>Flex lines від shut-off до faucet</t>
        </is>
      </c>
      <c r="F32" s="5" t="inlineStr">
        <is>
          <t>pcs</t>
        </is>
      </c>
      <c r="G32" s="27" t="n">
        <v>2</v>
      </c>
      <c r="H32" s="27" t="n">
        <v>2</v>
      </c>
      <c r="I32" s="27" t="n">
        <v>2</v>
      </c>
      <c r="J32" s="22" t="n">
        <v>5</v>
      </c>
      <c r="K32" s="22">
        <f>IF(OR(H32="",J32="",J32=0),"",H32*J32)</f>
        <v/>
      </c>
      <c r="L32" s="5" t="inlineStr">
        <is>
          <t>Home Depot</t>
        </is>
      </c>
      <c r="M32" s="5" t="inlineStr">
        <is>
          <t>Generic flex faucet supply line</t>
        </is>
      </c>
      <c r="N32" s="5" t="inlineStr"/>
      <c r="O32" s="5" t="inlineStr">
        <is>
          <t>Confirmed</t>
        </is>
      </c>
      <c r="P32" s="5" t="inlineStr">
        <is>
          <t>medium</t>
        </is>
      </c>
      <c r="Q32" s="5" t="inlineStr">
        <is>
          <t>ДОДАНО (review) | ДОДАНО (review): per piece, mid 2 | Ціна збір: 2026-05-28</t>
        </is>
      </c>
    </row>
    <row r="33">
      <c r="A33" s="5" t="n">
        <v>29</v>
      </c>
      <c r="B33" s="5" t="inlineStr">
        <is>
          <t>Finish — Fixtures</t>
        </is>
      </c>
      <c r="C33" s="5" t="inlineStr">
        <is>
          <t>Shower</t>
        </is>
      </c>
      <c r="D33" s="5" t="inlineStr">
        <is>
          <t>Shower Arm + Flange</t>
        </is>
      </c>
      <c r="E33" s="5" t="inlineStr">
        <is>
          <t>Якщо не included з shower head</t>
        </is>
      </c>
      <c r="F33" s="5" t="inlineStr">
        <is>
          <t>pcs</t>
        </is>
      </c>
      <c r="G33" s="27" t="n">
        <v>1</v>
      </c>
      <c r="H33" s="27" t="n">
        <v>1</v>
      </c>
      <c r="I33" s="27" t="n">
        <v>1</v>
      </c>
      <c r="J33" s="22" t="n">
        <v>15</v>
      </c>
      <c r="K33" s="22">
        <f>IF(OR(H33="",J33="",J33=0),"",H33*J33)</f>
        <v/>
      </c>
      <c r="L33" s="5" t="inlineStr">
        <is>
          <t>Home Depot</t>
        </is>
      </c>
      <c r="M33" s="5" t="inlineStr">
        <is>
          <t>Generic shower arm + flange</t>
        </is>
      </c>
      <c r="N33" s="5" t="inlineStr"/>
      <c r="O33" s="5" t="inlineStr">
        <is>
          <t>Confirmed</t>
        </is>
      </c>
      <c r="P33" s="5" t="inlineStr">
        <is>
          <t>medium</t>
        </is>
      </c>
      <c r="Q33" s="5" t="inlineStr">
        <is>
          <t>ДОДАНО (review) | ДОДАНО (review) | Ціна збір: 2026-05-28</t>
        </is>
      </c>
    </row>
    <row r="34">
      <c r="A34" s="5" t="n">
        <v>30</v>
      </c>
      <c r="B34" s="5" t="inlineStr">
        <is>
          <t>Finish — Fixtures</t>
        </is>
      </c>
      <c r="C34" s="5" t="inlineStr">
        <is>
          <t>Ventilation</t>
        </is>
      </c>
      <c r="D34" s="5" t="inlineStr">
        <is>
          <t>Duct Clamps + Foil HVAC Tape</t>
        </is>
      </c>
      <c r="E34" s="5" t="inlineStr">
        <is>
          <t>Для bath fan duct connection</t>
        </is>
      </c>
      <c r="F34" s="5" t="inlineStr">
        <is>
          <t>set</t>
        </is>
      </c>
      <c r="G34" s="27" t="n">
        <v>1</v>
      </c>
      <c r="H34" s="27" t="n">
        <v>1</v>
      </c>
      <c r="I34" s="27" t="n">
        <v>1</v>
      </c>
      <c r="J34" s="22" t="n">
        <v>10</v>
      </c>
      <c r="K34" s="22">
        <f>IF(OR(H34="",J34="",J34=0),"",H34*J34)</f>
        <v/>
      </c>
      <c r="L34" s="5" t="inlineStr">
        <is>
          <t>Home Depot</t>
        </is>
      </c>
      <c r="M34" s="5" t="inlineStr">
        <is>
          <t>Generic duct clamps + foil HVAC tape</t>
        </is>
      </c>
      <c r="N34" s="5" t="inlineStr"/>
      <c r="O34" s="5" t="inlineStr">
        <is>
          <t>Confirmed</t>
        </is>
      </c>
      <c r="P34" s="5" t="inlineStr">
        <is>
          <t>medium</t>
        </is>
      </c>
      <c r="Q34" s="5" t="inlineStr">
        <is>
          <t>ДОДАНО (review) | ДОДАНО (review) | Ціна збір: 2026-05-28</t>
        </is>
      </c>
    </row>
    <row r="35">
      <c r="A35" s="5" t="n">
        <v>31</v>
      </c>
      <c r="B35" s="5" t="inlineStr">
        <is>
          <t>Finish — Fixtures</t>
        </is>
      </c>
      <c r="C35" s="5" t="inlineStr">
        <is>
          <t>Shower</t>
        </is>
      </c>
      <c r="D35" s="5" t="inlineStr">
        <is>
          <t>Shower Curtain Hooks / Rings</t>
        </is>
      </c>
      <c r="E35" s="5" t="inlineStr">
        <is>
          <t>Часто sold з curtain, allowance backup</t>
        </is>
      </c>
      <c r="F35" s="5" t="inlineStr">
        <is>
          <t>pcs</t>
        </is>
      </c>
      <c r="G35" s="27" t="n">
        <v>1</v>
      </c>
      <c r="H35" s="27" t="n">
        <v>1</v>
      </c>
      <c r="I35" s="27" t="n">
        <v>1</v>
      </c>
      <c r="J35" s="22" t="n">
        <v>5</v>
      </c>
      <c r="K35" s="22">
        <f>IF(OR(H35="",J35="",J35=0),"",H35*J35)</f>
        <v/>
      </c>
      <c r="L35" s="5" t="inlineStr">
        <is>
          <t>Home Depot / IKEA</t>
        </is>
      </c>
      <c r="M35" s="5" t="inlineStr">
        <is>
          <t>Generic shower curtain hooks/rings</t>
        </is>
      </c>
      <c r="N35" s="5" t="inlineStr"/>
      <c r="O35" s="5" t="inlineStr">
        <is>
          <t>Confirmed</t>
        </is>
      </c>
      <c r="P35" s="5" t="inlineStr">
        <is>
          <t>medium</t>
        </is>
      </c>
      <c r="Q35" s="5" t="inlineStr">
        <is>
          <t>ДОДАНО (review) | ДОДАНО (review) | Ціна збір: 2026-05-28</t>
        </is>
      </c>
    </row>
    <row r="36">
      <c r="A36" s="5" t="n">
        <v>32</v>
      </c>
      <c r="B36" s="5" t="inlineStr">
        <is>
          <t>Finish — Fixtures</t>
        </is>
      </c>
      <c r="C36" s="5" t="inlineStr">
        <is>
          <t>Accessories</t>
        </is>
      </c>
      <c r="D36" s="5" t="inlineStr">
        <is>
          <t>Medicine Cabinet / Bathroom Storage (Optional)</t>
        </is>
      </c>
      <c r="E36" s="5" t="inlineStr">
        <is>
          <t>Якщо потрібне зберігання</t>
        </is>
      </c>
      <c r="F36" s="5" t="inlineStr">
        <is>
          <t>pcs</t>
        </is>
      </c>
      <c r="G36" s="27" t="n">
        <v>0</v>
      </c>
      <c r="H36" s="27" t="n">
        <v>0</v>
      </c>
      <c r="I36" s="27" t="n">
        <v>1</v>
      </c>
      <c r="J36" s="22" t="n">
        <v>80</v>
      </c>
      <c r="K36" s="22">
        <f>IF(OR(H36="",J36="",J36=0),"",H36*J36)</f>
        <v/>
      </c>
      <c r="L36" s="5" t="inlineStr">
        <is>
          <t>Home Depot / IKEA</t>
        </is>
      </c>
      <c r="M36" s="5" t="inlineStr">
        <is>
          <t>Generic medicine cabinet 16x20</t>
        </is>
      </c>
      <c r="N36" s="5" t="inlineStr"/>
      <c r="O36" s="5" t="inlineStr">
        <is>
          <t>Optional</t>
        </is>
      </c>
      <c r="P36" s="5" t="inlineStr">
        <is>
          <t>medium</t>
        </is>
      </c>
      <c r="Q36" s="5" t="inlineStr">
        <is>
          <t>ДОДАНО (review) | ДОДАНО (review) | Ціна збір: 2026-05-28</t>
        </is>
      </c>
    </row>
    <row r="37">
      <c r="A37" s="5" t="n">
        <v>33</v>
      </c>
      <c r="B37" s="5" t="inlineStr">
        <is>
          <t>Finish — Fixtures</t>
        </is>
      </c>
      <c r="C37" s="5" t="inlineStr">
        <is>
          <t>Accessories</t>
        </is>
      </c>
      <c r="D37" s="5" t="inlineStr">
        <is>
          <t>Grab Bars (Optional)</t>
        </is>
      </c>
      <c r="E37" s="5" t="inlineStr">
        <is>
          <t>ADA/safety allowance — blocking у Phase 3</t>
        </is>
      </c>
      <c r="F37" s="5" t="inlineStr">
        <is>
          <t>pcs</t>
        </is>
      </c>
      <c r="G37" s="27" t="n">
        <v>0</v>
      </c>
      <c r="H37" s="27" t="n">
        <v>0</v>
      </c>
      <c r="I37" s="27" t="n">
        <v>2</v>
      </c>
      <c r="J37" s="22" t="n">
        <v>30</v>
      </c>
      <c r="K37" s="22">
        <f>IF(OR(H37="",J37="",J37=0),"",H37*J37)</f>
        <v/>
      </c>
      <c r="L37" s="5" t="inlineStr">
        <is>
          <t>Home Depot</t>
        </is>
      </c>
      <c r="M37" s="5" t="inlineStr">
        <is>
          <t>Moen/generic grab bar 18-24"</t>
        </is>
      </c>
      <c r="N37" s="5" t="inlineStr"/>
      <c r="O37" s="5" t="inlineStr">
        <is>
          <t>Optional</t>
        </is>
      </c>
      <c r="P37" s="5" t="inlineStr">
        <is>
          <t>medium</t>
        </is>
      </c>
      <c r="Q37" s="5" t="inlineStr">
        <is>
          <t>ДОДАНО (review) | ДОДАНО (review): blocking у Phase 3 | Ціна збір: 2026-05-28</t>
        </is>
      </c>
    </row>
    <row r="38">
      <c r="A38" s="5" t="n">
        <v>34</v>
      </c>
      <c r="B38" s="5" t="inlineStr">
        <is>
          <t>Finish — Fixtures</t>
        </is>
      </c>
      <c r="C38" s="5" t="inlineStr">
        <is>
          <t>Tile - Shower</t>
        </is>
      </c>
      <c r="D38" s="5" t="inlineStr">
        <is>
          <t>Shower Wall Tile (ceramic subway 3×6)</t>
        </is>
      </c>
      <c r="E38" s="5" t="inlineStr">
        <is>
          <t>62 sf wall area: 32" front + 2×40" side × 7' tall</t>
        </is>
      </c>
      <c r="F38" s="5" t="inlineStr">
        <is>
          <t>sq ft</t>
        </is>
      </c>
      <c r="G38" s="27" t="n">
        <v>55</v>
      </c>
      <c r="H38" s="27" t="n">
        <v>62</v>
      </c>
      <c r="I38" s="27" t="n">
        <v>70</v>
      </c>
      <c r="J38" s="22" t="n">
        <v>3</v>
      </c>
      <c r="K38" s="22">
        <f>IF(OR(H38="",J38="",J38=0),"",H38*J38)</f>
        <v/>
      </c>
      <c r="L38" s="5" t="inlineStr">
        <is>
          <t>Home Depot</t>
        </is>
      </c>
      <c r="M38" s="5" t="inlineStr">
        <is>
          <t>Ceramic subway 3×6 white</t>
        </is>
      </c>
      <c r="N38" s="5" t="inlineStr"/>
      <c r="O38" s="5" t="inlineStr">
        <is>
          <t>Confirmed</t>
        </is>
      </c>
      <c r="P38" s="5" t="inlineStr">
        <is>
          <t>medium</t>
        </is>
      </c>
      <c r="Q38" s="5" t="inlineStr">
        <is>
          <t>ДОДАНО: tile shower walls | ДОДАНО: $3/sf retail | Ціна збір: 2026-05-28</t>
        </is>
      </c>
    </row>
    <row r="39">
      <c r="A39" s="5" t="n">
        <v>35</v>
      </c>
      <c r="B39" s="5" t="inlineStr">
        <is>
          <t>Finish — Fixtures</t>
        </is>
      </c>
      <c r="C39" s="5" t="inlineStr">
        <is>
          <t>Tile - Shower</t>
        </is>
      </c>
      <c r="D39" s="5" t="inlineStr">
        <is>
          <t>Tile Thinset / Mastic (shower)</t>
        </is>
      </c>
      <c r="E39" s="5" t="inlineStr">
        <is>
          <t>50 lb bag, ~1-2 bags для 60+ sf</t>
        </is>
      </c>
      <c r="F39" s="5" t="inlineStr">
        <is>
          <t>bag</t>
        </is>
      </c>
      <c r="G39" s="27" t="n">
        <v>1</v>
      </c>
      <c r="H39" s="27" t="n">
        <v>2</v>
      </c>
      <c r="I39" s="27" t="n">
        <v>2</v>
      </c>
      <c r="J39" s="22" t="n">
        <v>35</v>
      </c>
      <c r="K39" s="22">
        <f>IF(OR(H39="",J39="",J39=0),"",H39*J39)</f>
        <v/>
      </c>
      <c r="L39" s="5" t="inlineStr">
        <is>
          <t>Home Depot</t>
        </is>
      </c>
      <c r="M39" s="5" t="inlineStr">
        <is>
          <t>Custom Building Products thinset 50 lb</t>
        </is>
      </c>
      <c r="N39" s="5" t="inlineStr"/>
      <c r="O39" s="5" t="inlineStr">
        <is>
          <t>Confirmed</t>
        </is>
      </c>
      <c r="P39" s="5" t="inlineStr">
        <is>
          <t>medium</t>
        </is>
      </c>
      <c r="Q39" s="5" t="inlineStr">
        <is>
          <t>ДОДАНО | ДОДАНО | Ціна збір: 2026-05-28</t>
        </is>
      </c>
    </row>
    <row r="40">
      <c r="A40" s="5" t="n">
        <v>36</v>
      </c>
      <c r="B40" s="5" t="inlineStr">
        <is>
          <t>Finish — Fixtures</t>
        </is>
      </c>
      <c r="C40" s="5" t="inlineStr">
        <is>
          <t>Tile - Shower</t>
        </is>
      </c>
      <c r="D40" s="5" t="inlineStr">
        <is>
          <t>Sanded Grout (shower)</t>
        </is>
      </c>
      <c r="E40" s="5" t="inlineStr">
        <is>
          <t>25 lb bag</t>
        </is>
      </c>
      <c r="F40" s="5" t="inlineStr">
        <is>
          <t>bag</t>
        </is>
      </c>
      <c r="G40" s="27" t="n">
        <v>1</v>
      </c>
      <c r="H40" s="27" t="n">
        <v>1</v>
      </c>
      <c r="I40" s="27" t="n">
        <v>2</v>
      </c>
      <c r="J40" s="22" t="n">
        <v>20</v>
      </c>
      <c r="K40" s="22">
        <f>IF(OR(H40="",J40="",J40=0),"",H40*J40)</f>
        <v/>
      </c>
      <c r="L40" s="5" t="inlineStr">
        <is>
          <t>Home Depot</t>
        </is>
      </c>
      <c r="M40" s="5" t="inlineStr">
        <is>
          <t>Custom Building Products sanded grout 25 lb</t>
        </is>
      </c>
      <c r="N40" s="5" t="inlineStr"/>
      <c r="O40" s="5" t="inlineStr">
        <is>
          <t>Confirmed</t>
        </is>
      </c>
      <c r="P40" s="5" t="inlineStr">
        <is>
          <t>medium</t>
        </is>
      </c>
      <c r="Q40" s="5" t="inlineStr">
        <is>
          <t>ДОДАНО | ДОДАНО | Ціна збір: 2026-05-28</t>
        </is>
      </c>
    </row>
    <row r="41">
      <c r="A41" s="5" t="n">
        <v>37</v>
      </c>
      <c r="B41" s="5" t="inlineStr">
        <is>
          <t>Finish — Fixtures</t>
        </is>
      </c>
      <c r="C41" s="5" t="inlineStr">
        <is>
          <t>Tile - Shower</t>
        </is>
      </c>
      <c r="D41" s="5" t="inlineStr">
        <is>
          <t>Schluter / Tile Trim Edges</t>
        </is>
      </c>
      <c r="E41" s="5" t="inlineStr">
        <is>
          <t>Bullnose / metal trim for shower edges</t>
        </is>
      </c>
      <c r="F41" s="5" t="inlineStr">
        <is>
          <t>set</t>
        </is>
      </c>
      <c r="G41" s="27" t="n">
        <v>1</v>
      </c>
      <c r="H41" s="27" t="n">
        <v>1</v>
      </c>
      <c r="I41" s="27" t="n">
        <v>1</v>
      </c>
      <c r="J41" s="22" t="n">
        <v>35</v>
      </c>
      <c r="K41" s="22">
        <f>IF(OR(H41="",J41="",J41=0),"",H41*J41)</f>
        <v/>
      </c>
      <c r="L41" s="5" t="inlineStr">
        <is>
          <t>Home Depot</t>
        </is>
      </c>
      <c r="M41" s="5" t="inlineStr">
        <is>
          <t>Schluter trim / metal edges set</t>
        </is>
      </c>
      <c r="N41" s="5" t="inlineStr"/>
      <c r="O41" s="5" t="inlineStr">
        <is>
          <t>Confirmed</t>
        </is>
      </c>
      <c r="P41" s="5" t="inlineStr">
        <is>
          <t>medium</t>
        </is>
      </c>
      <c r="Q41" s="5" t="inlineStr">
        <is>
          <t>ДОДАНО | ДОДАНО | Ціна збір: 2026-05-28</t>
        </is>
      </c>
    </row>
    <row r="42">
      <c r="A42" s="5" t="n">
        <v>38</v>
      </c>
      <c r="B42" s="5" t="inlineStr">
        <is>
          <t>Finish — Fixtures</t>
        </is>
      </c>
      <c r="C42" s="5" t="inlineStr">
        <is>
          <t>Tile - Floor</t>
        </is>
      </c>
      <c r="D42" s="5" t="inlineStr">
        <is>
          <t>Bathroom Floor Tile (porcelain 12×12)</t>
        </is>
      </c>
      <c r="E42" s="5" t="inlineStr">
        <is>
          <t>Bathroom floor ~32 sf usable (minus vanity)</t>
        </is>
      </c>
      <c r="F42" s="5" t="inlineStr">
        <is>
          <t>sq ft</t>
        </is>
      </c>
      <c r="G42" s="27" t="n">
        <v>28</v>
      </c>
      <c r="H42" s="27" t="n">
        <v>32</v>
      </c>
      <c r="I42" s="27" t="n">
        <v>38</v>
      </c>
      <c r="J42" s="22" t="n">
        <v>4</v>
      </c>
      <c r="K42" s="22">
        <f>IF(OR(H42="",J42="",J42=0),"",H42*J42)</f>
        <v/>
      </c>
      <c r="L42" s="5" t="inlineStr">
        <is>
          <t>Home Depot</t>
        </is>
      </c>
      <c r="M42" s="5" t="inlineStr">
        <is>
          <t>Porcelain floor tile 12×12</t>
        </is>
      </c>
      <c r="N42" s="5" t="inlineStr"/>
      <c r="O42" s="5" t="inlineStr">
        <is>
          <t>Confirmed</t>
        </is>
      </c>
      <c r="P42" s="5" t="inlineStr">
        <is>
          <t>medium</t>
        </is>
      </c>
      <c r="Q42" s="5" t="inlineStr">
        <is>
          <t>ДОДАНО: bathroom floor tile (замість LVP) | ДОДАНО: $4/sf | Ціна збір: 2026-05-28</t>
        </is>
      </c>
    </row>
    <row r="43">
      <c r="A43" s="5" t="n">
        <v>39</v>
      </c>
      <c r="B43" s="5" t="inlineStr">
        <is>
          <t>Finish — Fixtures</t>
        </is>
      </c>
      <c r="C43" s="5" t="inlineStr">
        <is>
          <t>Tile - Floor</t>
        </is>
      </c>
      <c r="D43" s="5" t="inlineStr">
        <is>
          <t>Floor Thinset</t>
        </is>
      </c>
      <c r="E43" s="5" t="inlineStr">
        <is>
          <t>50 lb bag</t>
        </is>
      </c>
      <c r="F43" s="5" t="inlineStr">
        <is>
          <t>bag</t>
        </is>
      </c>
      <c r="G43" s="27" t="n">
        <v>1</v>
      </c>
      <c r="H43" s="27" t="n">
        <v>1</v>
      </c>
      <c r="I43" s="27" t="n">
        <v>1</v>
      </c>
      <c r="J43" s="22" t="n">
        <v>35</v>
      </c>
      <c r="K43" s="22">
        <f>IF(OR(H43="",J43="",J43=0),"",H43*J43)</f>
        <v/>
      </c>
      <c r="L43" s="5" t="inlineStr">
        <is>
          <t>Home Depot</t>
        </is>
      </c>
      <c r="M43" s="5" t="inlineStr">
        <is>
          <t>Floor thinset 50 lb</t>
        </is>
      </c>
      <c r="N43" s="5" t="inlineStr"/>
      <c r="O43" s="5" t="inlineStr">
        <is>
          <t>Confirmed</t>
        </is>
      </c>
      <c r="P43" s="5" t="inlineStr">
        <is>
          <t>medium</t>
        </is>
      </c>
      <c r="Q43" s="5" t="inlineStr">
        <is>
          <t>ДОДАНО | ДОДАНО | Ціна збір: 2026-05-28</t>
        </is>
      </c>
    </row>
    <row r="44">
      <c r="A44" s="5" t="n">
        <v>40</v>
      </c>
      <c r="B44" s="5" t="inlineStr">
        <is>
          <t>Finish — Fixtures</t>
        </is>
      </c>
      <c r="C44" s="5" t="inlineStr">
        <is>
          <t>Tile - Floor</t>
        </is>
      </c>
      <c r="D44" s="5" t="inlineStr">
        <is>
          <t>Floor Grout + Spacers</t>
        </is>
      </c>
      <c r="E44" s="5" t="inlineStr">
        <is>
          <t>Grout + spacers + sponge kit</t>
        </is>
      </c>
      <c r="F44" s="5" t="inlineStr">
        <is>
          <t>set</t>
        </is>
      </c>
      <c r="G44" s="27" t="n">
        <v>1</v>
      </c>
      <c r="H44" s="27" t="n">
        <v>1</v>
      </c>
      <c r="I44" s="27" t="n">
        <v>1</v>
      </c>
      <c r="J44" s="22" t="n">
        <v>20</v>
      </c>
      <c r="K44" s="22">
        <f>IF(OR(H44="",J44="",J44=0),"",H44*J44)</f>
        <v/>
      </c>
      <c r="L44" s="5" t="inlineStr">
        <is>
          <t>Home Depot</t>
        </is>
      </c>
      <c r="M44" s="5" t="inlineStr">
        <is>
          <t>Floor grout + spacers + sponge kit</t>
        </is>
      </c>
      <c r="N44" s="5" t="inlineStr"/>
      <c r="O44" s="5" t="inlineStr">
        <is>
          <t>Confirmed</t>
        </is>
      </c>
      <c r="P44" s="5" t="inlineStr">
        <is>
          <t>medium</t>
        </is>
      </c>
      <c r="Q44" s="5" t="inlineStr">
        <is>
          <t>ДОДАНО | ДОДАНО | Ціна збір: 2026-05-28</t>
        </is>
      </c>
    </row>
    <row r="45">
      <c r="A45" s="5" t="n">
        <v>41</v>
      </c>
      <c r="B45" s="5" t="inlineStr">
        <is>
          <t>Finish — Fixtures</t>
        </is>
      </c>
      <c r="C45" s="5" t="inlineStr">
        <is>
          <t>Tile - Floor</t>
        </is>
      </c>
      <c r="D45" s="5" t="inlineStr">
        <is>
          <t>Cement Board (floor underlay)</t>
        </is>
      </c>
      <c r="E45" s="5" t="inlineStr">
        <is>
          <t>1/2" HardieBacker for floor 32 sf</t>
        </is>
      </c>
      <c r="F45" s="5" t="inlineStr">
        <is>
          <t>sq ft</t>
        </is>
      </c>
      <c r="G45" s="27" t="n">
        <v>28</v>
      </c>
      <c r="H45" s="27" t="n">
        <v>32</v>
      </c>
      <c r="I45" s="27" t="n">
        <v>38</v>
      </c>
      <c r="J45" s="22" t="n">
        <v>0.5</v>
      </c>
      <c r="K45" s="22">
        <f>IF(OR(H45="",J45="",J45=0),"",H45*J45)</f>
        <v/>
      </c>
      <c r="L45" s="5" t="inlineStr">
        <is>
          <t>Home Depot</t>
        </is>
      </c>
      <c r="M45" s="5" t="inlineStr">
        <is>
          <t>HardieBacker 1/2" cement board</t>
        </is>
      </c>
      <c r="N45" s="5" t="inlineStr"/>
      <c r="O45" s="5" t="inlineStr">
        <is>
          <t>Confirmed</t>
        </is>
      </c>
      <c r="P45" s="5" t="inlineStr">
        <is>
          <t>medium</t>
        </is>
      </c>
      <c r="Q45" s="5" t="inlineStr">
        <is>
          <t>ДОДАНО: окремо від shower cement board (Phase 9) | ДОДАНО: per sf для floor | Ціна збір: 2026-05-28</t>
        </is>
      </c>
    </row>
    <row r="46">
      <c r="A46" s="5" t="n">
        <v>42</v>
      </c>
      <c r="B46" s="5" t="inlineStr">
        <is>
          <t>Finish — Fixtures</t>
        </is>
      </c>
      <c r="C46" s="5" t="inlineStr">
        <is>
          <t>Tile - Waterproofing</t>
        </is>
      </c>
      <c r="D46" s="5" t="inlineStr">
        <is>
          <t>Extra RedGard (floor + corners)</t>
        </is>
      </c>
      <c r="E46" s="5" t="inlineStr">
        <is>
          <t>Additional quart для shower floor + transitions</t>
        </is>
      </c>
      <c r="F46" s="5" t="inlineStr">
        <is>
          <t>qt</t>
        </is>
      </c>
      <c r="G46" s="27" t="n">
        <v>1</v>
      </c>
      <c r="H46" s="27" t="n">
        <v>1</v>
      </c>
      <c r="I46" s="27" t="n">
        <v>1</v>
      </c>
      <c r="J46" s="22" t="n">
        <v>30</v>
      </c>
      <c r="K46" s="22">
        <f>IF(OR(H46="",J46="",J46=0),"",H46*J46)</f>
        <v/>
      </c>
      <c r="L46" s="5" t="inlineStr">
        <is>
          <t>Home Depot</t>
        </is>
      </c>
      <c r="M46" s="5" t="inlineStr">
        <is>
          <t>RedGard quart (floor + corners)</t>
        </is>
      </c>
      <c r="N46" s="5" t="inlineStr"/>
      <c r="O46" s="5" t="inlineStr">
        <is>
          <t>Confirmed</t>
        </is>
      </c>
      <c r="P46" s="5" t="inlineStr">
        <is>
          <t>medium</t>
        </is>
      </c>
      <c r="Q46" s="5" t="inlineStr">
        <is>
          <t>ДОДАНО: окрема quart RedGard | ДОДАНО: окремий quart | Ціна збір: 2026-05-28</t>
        </is>
      </c>
    </row>
    <row r="48">
      <c r="A48" s="8" t="n"/>
      <c r="B48" s="8" t="n"/>
      <c r="C48" s="9" t="inlineStr">
        <is>
          <t>ПІДСУМОК ФАЗИ</t>
        </is>
      </c>
      <c r="D48" s="8" t="n"/>
      <c r="E48" s="8" t="n"/>
      <c r="F48" s="8" t="n"/>
      <c r="G48" s="8" t="n"/>
      <c r="H48" s="8" t="n"/>
      <c r="I48" s="8" t="n"/>
      <c r="J48" s="8" t="n"/>
      <c r="K48" s="24">
        <f>SUM(K5:K46)</f>
        <v/>
      </c>
      <c r="L48" s="8" t="n"/>
      <c r="M48" s="8" t="n"/>
      <c r="N48" s="8" t="n"/>
      <c r="O48" s="8" t="n"/>
      <c r="P48" s="8" t="n"/>
      <c r="Q48" s="8" t="n"/>
    </row>
  </sheetData>
  <autoFilter ref="A4:Q46"/>
  <mergeCells count="2">
    <mergeCell ref="A2:Q2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14 — Closet System (§13)</t>
        </is>
      </c>
    </row>
    <row r="2" ht="18" customHeight="1">
      <c r="A2" s="3" t="inlineStr">
        <is>
          <t>IKEA PAX/BOAXEL для walk-in 6×5'6"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Furnishing</t>
        </is>
      </c>
      <c r="C5" s="5" t="inlineStr">
        <is>
          <t>Storage System</t>
        </is>
      </c>
      <c r="D5" s="5" t="inlineStr">
        <is>
          <t>IKEA BOAXEL wardrobe combination</t>
        </is>
      </c>
      <c r="E5" s="5" t="inlineStr">
        <is>
          <t>BOAXEL 49 1/8" main wall combo</t>
        </is>
      </c>
      <c r="F5" s="5" t="inlineStr">
        <is>
          <t>system</t>
        </is>
      </c>
      <c r="G5" s="27" t="n">
        <v>1</v>
      </c>
      <c r="H5" s="27" t="n">
        <v>1</v>
      </c>
      <c r="I5" s="27" t="n">
        <v>1</v>
      </c>
      <c r="J5" s="22" t="n">
        <v>262</v>
      </c>
      <c r="K5" s="22">
        <f>IF(OR(H5="",J5="",J5=0),"",H5*J5)</f>
        <v/>
      </c>
      <c r="L5" s="5" t="inlineStr">
        <is>
          <t>IKEA</t>
        </is>
      </c>
      <c r="M5" s="5" t="inlineStr">
        <is>
          <t>IKEA BOAXEL 49" wardrobe combination</t>
        </is>
      </c>
      <c r="N5" s="5" t="inlineStr">
        <is>
          <t>https://www.ikea.com/us/en/p/boaxel-wardrobe-combination-white-s19332373/</t>
        </is>
      </c>
      <c r="O5" s="5" t="inlineStr">
        <is>
          <t>Confirmed</t>
        </is>
      </c>
      <c r="P5" s="5" t="inlineStr">
        <is>
          <t>high</t>
        </is>
      </c>
      <c r="Q5" s="5" t="inlineStr">
        <is>
          <t>BASELINE = BOAXEL. PAX — separate upgrade scenario (r15), не входить у поточний total | BOAXEL combo includes frame+shelves+rail | Ціна збір: 2026-05-28</t>
        </is>
      </c>
    </row>
    <row r="6">
      <c r="A6" s="5" t="n">
        <v>2</v>
      </c>
      <c r="B6" s="5" t="inlineStr">
        <is>
          <t>Furnishing</t>
        </is>
      </c>
      <c r="C6" s="5" t="inlineStr">
        <is>
          <t>Storage System</t>
        </is>
      </c>
      <c r="D6" s="5" t="inlineStr">
        <is>
          <t>Additional Hanging Rods</t>
        </is>
      </c>
      <c r="E6" s="5" t="inlineStr">
        <is>
          <t>Extra BOAXEL clothes rails для second wall</t>
        </is>
      </c>
      <c r="F6" s="5" t="inlineStr">
        <is>
          <t>pcs</t>
        </is>
      </c>
      <c r="G6" s="27" t="n">
        <v>0</v>
      </c>
      <c r="H6" s="27" t="n">
        <v>1</v>
      </c>
      <c r="I6" s="27" t="n">
        <v>2</v>
      </c>
      <c r="J6" s="22" t="n">
        <v>10</v>
      </c>
      <c r="K6" s="22">
        <f>IF(OR(H6="",J6="",J6=0),"",H6*J6)</f>
        <v/>
      </c>
      <c r="L6" s="5" t="inlineStr">
        <is>
          <t>IKEA</t>
        </is>
      </c>
      <c r="M6" s="5" t="inlineStr">
        <is>
          <t>IKEA BOAXEL clothes rail 24"-31"</t>
        </is>
      </c>
      <c r="N6" s="5" t="inlineStr"/>
      <c r="O6" s="5" t="inlineStr">
        <is>
          <t>TBD</t>
        </is>
      </c>
      <c r="P6" s="5" t="inlineStr">
        <is>
          <t>medium</t>
        </is>
      </c>
      <c r="Q6" s="5" t="inlineStr">
        <is>
          <t>Per pc | Ціна збір: 2026-05-28</t>
        </is>
      </c>
    </row>
    <row r="7">
      <c r="A7" s="5" t="n">
        <v>3</v>
      </c>
      <c r="B7" s="5" t="inlineStr">
        <is>
          <t>Furnishing</t>
        </is>
      </c>
      <c r="C7" s="5" t="inlineStr">
        <is>
          <t>Storage System</t>
        </is>
      </c>
      <c r="D7" s="5" t="inlineStr">
        <is>
          <t>Additional Shelves</t>
        </is>
      </c>
      <c r="E7" s="5" t="inlineStr">
        <is>
          <t>BOAXEL extra shelves для second wall</t>
        </is>
      </c>
      <c r="F7" s="5" t="inlineStr">
        <is>
          <t>pcs</t>
        </is>
      </c>
      <c r="G7" s="27" t="n">
        <v>2</v>
      </c>
      <c r="H7" s="27" t="n">
        <v>3</v>
      </c>
      <c r="I7" s="27" t="n">
        <v>5</v>
      </c>
      <c r="J7" s="22" t="n">
        <v>15</v>
      </c>
      <c r="K7" s="22">
        <f>IF(OR(H7="",J7="",J7=0),"",H7*J7)</f>
        <v/>
      </c>
      <c r="L7" s="5" t="inlineStr">
        <is>
          <t>IKEA</t>
        </is>
      </c>
      <c r="M7" s="5" t="inlineStr">
        <is>
          <t>IKEA BOAXEL extra shelf</t>
        </is>
      </c>
      <c r="N7" s="5" t="inlineStr"/>
      <c r="O7" s="5" t="inlineStr">
        <is>
          <t>TBD</t>
        </is>
      </c>
      <c r="P7" s="5" t="inlineStr">
        <is>
          <t>medium</t>
        </is>
      </c>
      <c r="Q7" s="5" t="inlineStr">
        <is>
          <t>Per pc | Ціна збір: 2026-05-28</t>
        </is>
      </c>
    </row>
    <row r="8">
      <c r="A8" s="5" t="n">
        <v>4</v>
      </c>
      <c r="B8" s="5" t="inlineStr">
        <is>
          <t>Furnishing</t>
        </is>
      </c>
      <c r="C8" s="5" t="inlineStr">
        <is>
          <t>Storage System</t>
        </is>
      </c>
      <c r="D8" s="5" t="inlineStr">
        <is>
          <t>Drawers (mesh baskets)</t>
        </is>
      </c>
      <c r="E8" s="5" t="inlineStr">
        <is>
          <t>BOAXEL mesh basket drawers</t>
        </is>
      </c>
      <c r="F8" s="5" t="inlineStr">
        <is>
          <t>pcs</t>
        </is>
      </c>
      <c r="G8" s="27" t="n">
        <v>2</v>
      </c>
      <c r="H8" s="27" t="n">
        <v>4</v>
      </c>
      <c r="I8" s="27" t="n">
        <v>6</v>
      </c>
      <c r="J8" s="22" t="n">
        <v>20</v>
      </c>
      <c r="K8" s="22">
        <f>IF(OR(H8="",J8="",J8=0),"",H8*J8)</f>
        <v/>
      </c>
      <c r="L8" s="5" t="inlineStr">
        <is>
          <t>IKEA</t>
        </is>
      </c>
      <c r="M8" s="5" t="inlineStr">
        <is>
          <t>IKEA BOAXEL mesh basket drawer</t>
        </is>
      </c>
      <c r="N8" s="5" t="inlineStr"/>
      <c r="O8" s="5" t="inlineStr">
        <is>
          <t>TBD</t>
        </is>
      </c>
      <c r="P8" s="5" t="inlineStr">
        <is>
          <t>medium</t>
        </is>
      </c>
      <c r="Q8" s="5" t="inlineStr">
        <is>
          <t>Per pc | Ціна збір: 2026-05-28</t>
        </is>
      </c>
    </row>
    <row r="9">
      <c r="A9" s="5" t="n">
        <v>5</v>
      </c>
      <c r="B9" s="5" t="inlineStr">
        <is>
          <t>Furnishing</t>
        </is>
      </c>
      <c r="C9" s="5" t="inlineStr">
        <is>
          <t>Storage System</t>
        </is>
      </c>
      <c r="D9" s="5" t="inlineStr">
        <is>
          <t>Shoe Storage</t>
        </is>
      </c>
      <c r="E9" s="5" t="inlineStr">
        <is>
          <t>BOAXEL shoe shelves або freestanding rack</t>
        </is>
      </c>
      <c r="F9" s="5" t="inlineStr">
        <is>
          <t>pcs</t>
        </is>
      </c>
      <c r="G9" s="27" t="n">
        <v>1</v>
      </c>
      <c r="H9" s="27" t="n">
        <v>1</v>
      </c>
      <c r="I9" s="27" t="n">
        <v>2</v>
      </c>
      <c r="J9" s="22" t="n">
        <v>30</v>
      </c>
      <c r="K9" s="22">
        <f>IF(OR(H9="",J9="",J9=0),"",H9*J9)</f>
        <v/>
      </c>
      <c r="L9" s="5" t="inlineStr">
        <is>
          <t>IKEA</t>
        </is>
      </c>
      <c r="M9" s="5" t="inlineStr">
        <is>
          <t>IKEA BOAXEL shoe shelf set</t>
        </is>
      </c>
      <c r="N9" s="5" t="inlineStr"/>
      <c r="O9" s="5" t="inlineStr">
        <is>
          <t>TBD</t>
        </is>
      </c>
      <c r="P9" s="5" t="inlineStr">
        <is>
          <t>medium</t>
        </is>
      </c>
      <c r="Q9" s="5" t="inlineStr">
        <is>
          <t xml:space="preserve"> | Ціна збір: 2026-05-28</t>
        </is>
      </c>
    </row>
    <row r="10">
      <c r="A10" s="5" t="n">
        <v>6</v>
      </c>
      <c r="B10" s="5" t="inlineStr">
        <is>
          <t>Furnishing</t>
        </is>
      </c>
      <c r="C10" s="5" t="inlineStr">
        <is>
          <t>Accessories</t>
        </is>
      </c>
      <c r="D10" s="5" t="inlineStr">
        <is>
          <t>Mirror (closet)</t>
        </is>
      </c>
      <c r="E10" s="5" t="inlineStr">
        <is>
          <t>Wall-mounted full-length</t>
        </is>
      </c>
      <c r="F10" s="5" t="inlineStr">
        <is>
          <t>pcs</t>
        </is>
      </c>
      <c r="G10" s="27" t="n">
        <v>0</v>
      </c>
      <c r="H10" s="27" t="n">
        <v>1</v>
      </c>
      <c r="I10" s="27" t="n">
        <v>1</v>
      </c>
      <c r="J10" s="22" t="n">
        <v>40</v>
      </c>
      <c r="K10" s="22">
        <f>IF(OR(H10="",J10="",J10=0),"",H10*J10)</f>
        <v/>
      </c>
      <c r="L10" s="5" t="inlineStr">
        <is>
          <t>IKEA</t>
        </is>
      </c>
      <c r="M10" s="5" t="inlineStr">
        <is>
          <t>IKEA wall-mounted mirror full-length</t>
        </is>
      </c>
      <c r="N10" s="5" t="inlineStr"/>
      <c r="O10" s="5" t="inlineStr">
        <is>
          <t>TBD</t>
        </is>
      </c>
      <c r="P10" s="5" t="inlineStr">
        <is>
          <t>medium</t>
        </is>
      </c>
      <c r="Q10" s="5" t="inlineStr">
        <is>
          <t>Optional but Mid 1 | Ціна збір: 2026-05-28</t>
        </is>
      </c>
    </row>
    <row r="11">
      <c r="A11" s="5" t="n">
        <v>7</v>
      </c>
      <c r="B11" s="5" t="inlineStr">
        <is>
          <t>Furnishing</t>
        </is>
      </c>
      <c r="C11" s="5" t="inlineStr">
        <is>
          <t>Storage System</t>
        </is>
      </c>
      <c r="D11" s="5" t="inlineStr">
        <is>
          <t>BOAXEL Wall Rails (additional)</t>
        </is>
      </c>
      <c r="E11" s="5" t="inlineStr">
        <is>
          <t>Для second wall mounting</t>
        </is>
      </c>
      <c r="F11" s="5" t="inlineStr">
        <is>
          <t>pcs</t>
        </is>
      </c>
      <c r="G11" s="27" t="n">
        <v>1</v>
      </c>
      <c r="H11" s="27" t="n">
        <v>2</v>
      </c>
      <c r="I11" s="27" t="n">
        <v>3</v>
      </c>
      <c r="J11" s="22" t="n">
        <v>20</v>
      </c>
      <c r="K11" s="22">
        <f>IF(OR(H11="",J11="",J11=0),"",H11*J11)</f>
        <v/>
      </c>
      <c r="L11" s="5" t="inlineStr">
        <is>
          <t>IKEA</t>
        </is>
      </c>
      <c r="M11" s="5" t="inlineStr">
        <is>
          <t>IKEA BOAXEL wall rail (additional)</t>
        </is>
      </c>
      <c r="N11" s="5" t="inlineStr"/>
      <c r="O11" s="5" t="inlineStr">
        <is>
          <t>Confirmed</t>
        </is>
      </c>
      <c r="P11" s="5" t="inlineStr">
        <is>
          <t>medium</t>
        </is>
      </c>
      <c r="Q11" s="5" t="inlineStr">
        <is>
          <t>ДОДАНО | ДОДАНО: per rail | Ціна збір: 2026-05-28</t>
        </is>
      </c>
    </row>
    <row r="12">
      <c r="A12" s="5" t="n">
        <v>8</v>
      </c>
      <c r="B12" s="5" t="inlineStr">
        <is>
          <t>Furnishing</t>
        </is>
      </c>
      <c r="C12" s="5" t="inlineStr">
        <is>
          <t>Hardware</t>
        </is>
      </c>
      <c r="D12" s="5" t="inlineStr">
        <is>
          <t>Mounting Hardware (Stud Screws + Anchors)</t>
        </is>
      </c>
      <c r="E12" s="5" t="inlineStr">
        <is>
          <t>Stud-mounted screws у studs/blocking + drywall anchors де dozvoleno</t>
        </is>
      </c>
      <c r="F12" s="5" t="inlineStr">
        <is>
          <t>set</t>
        </is>
      </c>
      <c r="G12" s="27" t="n">
        <v>1</v>
      </c>
      <c r="H12" s="27" t="n">
        <v>1</v>
      </c>
      <c r="I12" s="27" t="n">
        <v>1</v>
      </c>
      <c r="J12" s="22" t="n">
        <v>15</v>
      </c>
      <c r="K12" s="22">
        <f>IF(OR(H12="",J12="",J12=0),"",H12*J12)</f>
        <v/>
      </c>
      <c r="L12" s="5" t="inlineStr">
        <is>
          <t>Home Depot</t>
        </is>
      </c>
      <c r="M12" s="5" t="inlineStr">
        <is>
          <t>Generic drywall anchors + screws set</t>
        </is>
      </c>
      <c r="N12" s="5" t="inlineStr"/>
      <c r="O12" s="5" t="inlineStr">
        <is>
          <t>Confirmed</t>
        </is>
      </c>
      <c r="P12" s="5" t="inlineStr">
        <is>
          <t>medium</t>
        </is>
      </c>
      <c r="Q12" s="5" t="inlineStr">
        <is>
          <t>Stud/blocking-mounted preferred. Drywall anchors тільки де дозволяє IKEA spec | ДОДАНО | Ціна збір: 2026-05-28</t>
        </is>
      </c>
    </row>
    <row r="13">
      <c r="A13" s="5" t="n">
        <v>9</v>
      </c>
      <c r="B13" s="5" t="inlineStr">
        <is>
          <t>Furnishing</t>
        </is>
      </c>
      <c r="C13" s="5" t="inlineStr">
        <is>
          <t>Accessories</t>
        </is>
      </c>
      <c r="D13" s="5" t="inlineStr">
        <is>
          <t>Drawer Organizers / Dividers (Optional)</t>
        </is>
      </c>
      <c r="E13" s="5" t="inlineStr">
        <is>
          <t>IKEA KOMPLEMENT inserts</t>
        </is>
      </c>
      <c r="F13" s="5" t="inlineStr">
        <is>
          <t>set</t>
        </is>
      </c>
      <c r="G13" s="27" t="n">
        <v>0</v>
      </c>
      <c r="H13" s="27" t="n">
        <v>0</v>
      </c>
      <c r="I13" s="27" t="n">
        <v>1</v>
      </c>
      <c r="J13" s="22" t="n">
        <v>20</v>
      </c>
      <c r="K13" s="22">
        <f>IF(OR(H13="",J13="",J13=0),"",H13*J13)</f>
        <v/>
      </c>
      <c r="L13" s="5" t="inlineStr">
        <is>
          <t>IKEA</t>
        </is>
      </c>
      <c r="M13" s="5" t="inlineStr">
        <is>
          <t>IKEA KOMPLEMENT drawer inserts (Optional)</t>
        </is>
      </c>
      <c r="N13" s="5" t="inlineStr"/>
      <c r="O13" s="5" t="inlineStr">
        <is>
          <t>Optional</t>
        </is>
      </c>
      <c r="P13" s="5" t="inlineStr">
        <is>
          <t>medium</t>
        </is>
      </c>
      <c r="Q13" s="5" t="inlineStr">
        <is>
          <t>ДОДАНО | ДОДАНО | Ціна збір: 2026-05-28</t>
        </is>
      </c>
    </row>
    <row r="14">
      <c r="A14" s="5" t="n">
        <v>10</v>
      </c>
      <c r="B14" s="5" t="inlineStr">
        <is>
          <t>Furnishing</t>
        </is>
      </c>
      <c r="C14" s="5" t="inlineStr">
        <is>
          <t>Accessories</t>
        </is>
      </c>
      <c r="D14" s="5" t="inlineStr">
        <is>
          <t>Closet Accessories (Optional)</t>
        </is>
      </c>
      <c r="E14" s="5" t="inlineStr">
        <is>
          <t>Valet hook, belt rack, hangers</t>
        </is>
      </c>
      <c r="F14" s="5" t="inlineStr">
        <is>
          <t>set</t>
        </is>
      </c>
      <c r="G14" s="27" t="n">
        <v>0</v>
      </c>
      <c r="H14" s="27" t="n">
        <v>0</v>
      </c>
      <c r="I14" s="27" t="n">
        <v>1</v>
      </c>
      <c r="J14" s="22" t="n">
        <v>15</v>
      </c>
      <c r="K14" s="22">
        <f>IF(OR(H14="",J14="",J14=0),"",H14*J14)</f>
        <v/>
      </c>
      <c r="L14" s="5" t="inlineStr">
        <is>
          <t>IKEA</t>
        </is>
      </c>
      <c r="M14" s="5" t="inlineStr">
        <is>
          <t>Closet accessories valet/belt rack (Optional)</t>
        </is>
      </c>
      <c r="N14" s="5" t="inlineStr"/>
      <c r="O14" s="5" t="inlineStr">
        <is>
          <t>Optional</t>
        </is>
      </c>
      <c r="P14" s="5" t="inlineStr">
        <is>
          <t>medium</t>
        </is>
      </c>
      <c r="Q14" s="5" t="inlineStr">
        <is>
          <t>ДОДАНО | ДОДАНО | Ціна збір: 2026-05-28</t>
        </is>
      </c>
    </row>
    <row r="15">
      <c r="A15" s="5" t="n">
        <v>11</v>
      </c>
      <c r="B15" s="5" t="inlineStr">
        <is>
          <t>Furnishing</t>
        </is>
      </c>
      <c r="C15" s="5" t="inlineStr">
        <is>
          <t>Storage System</t>
        </is>
      </c>
      <c r="D15" s="5" t="inlineStr">
        <is>
          <t>BOAXEL Uprights / Vertical Rails</t>
        </is>
      </c>
      <c r="E15" s="5" t="inlineStr">
        <is>
          <t>Required для full system mounting</t>
        </is>
      </c>
      <c r="F15" s="5" t="inlineStr">
        <is>
          <t>pcs</t>
        </is>
      </c>
      <c r="G15" s="27" t="n">
        <v>1</v>
      </c>
      <c r="H15" s="27" t="n">
        <v>2</v>
      </c>
      <c r="I15" s="27" t="n">
        <v>3</v>
      </c>
      <c r="J15" s="22" t="n">
        <v>15</v>
      </c>
      <c r="K15" s="22">
        <f>IF(OR(H15="",J15="",J15=0),"",H15*J15)</f>
        <v/>
      </c>
      <c r="L15" s="5" t="inlineStr">
        <is>
          <t>IKEA</t>
        </is>
      </c>
      <c r="M15" s="5" t="inlineStr">
        <is>
          <t>IKEA BOAXEL upright / vertical rail</t>
        </is>
      </c>
      <c r="N15" s="5" t="inlineStr"/>
      <c r="O15" s="5" t="inlineStr">
        <is>
          <t>Confirmed</t>
        </is>
      </c>
      <c r="P15" s="5" t="inlineStr">
        <is>
          <t>medium</t>
        </is>
      </c>
      <c r="Q15" s="5" t="inlineStr">
        <is>
          <t>ДОДАНО (review): high pri — без uprights system не складається | ДОДАНО (review): per upright | Ціна збір: 2026-05-28</t>
        </is>
      </c>
    </row>
    <row r="16">
      <c r="A16" s="5" t="n">
        <v>12</v>
      </c>
      <c r="B16" s="5" t="inlineStr">
        <is>
          <t>Furnishing</t>
        </is>
      </c>
      <c r="C16" s="5" t="inlineStr">
        <is>
          <t>Storage System</t>
        </is>
      </c>
      <c r="D16" s="5" t="inlineStr">
        <is>
          <t>BOAXEL Shelf / Rod Brackets</t>
        </is>
      </c>
      <c r="E16" s="5" t="inlineStr">
        <is>
          <t>Brackets для additional shelves/rods</t>
        </is>
      </c>
      <c r="F16" s="5" t="inlineStr">
        <is>
          <t>pack</t>
        </is>
      </c>
      <c r="G16" s="27" t="n">
        <v>1</v>
      </c>
      <c r="H16" s="27" t="n">
        <v>1</v>
      </c>
      <c r="I16" s="27" t="n">
        <v>2</v>
      </c>
      <c r="J16" s="22" t="n">
        <v>5</v>
      </c>
      <c r="K16" s="22">
        <f>IF(OR(H16="",J16="",J16=0),"",H16*J16)</f>
        <v/>
      </c>
      <c r="L16" s="5" t="inlineStr">
        <is>
          <t>IKEA</t>
        </is>
      </c>
      <c r="M16" s="5" t="inlineStr">
        <is>
          <t>IKEA BOAXEL shelf/rod brackets pack</t>
        </is>
      </c>
      <c r="N16" s="5" t="inlineStr"/>
      <c r="O16" s="5" t="inlineStr">
        <is>
          <t>Confirmed</t>
        </is>
      </c>
      <c r="P16" s="5" t="inlineStr">
        <is>
          <t>medium</t>
        </is>
      </c>
      <c r="Q16" s="5" t="inlineStr">
        <is>
          <t>ДОДАНО (review) | ДОДАНО (review) | Ціна збір: 2026-05-28</t>
        </is>
      </c>
    </row>
    <row r="17">
      <c r="A17" s="5" t="n">
        <v>13</v>
      </c>
      <c r="B17" s="5" t="inlineStr">
        <is>
          <t>Furnishing</t>
        </is>
      </c>
      <c r="C17" s="5" t="inlineStr">
        <is>
          <t>Storage System</t>
        </is>
      </c>
      <c r="D17" s="5" t="inlineStr">
        <is>
          <t>Second-wall BOAXEL Add-on</t>
        </is>
      </c>
      <c r="E17" s="5" t="inlineStr">
        <is>
          <t>Complete add-on для short wall 5'6"</t>
        </is>
      </c>
      <c r="F17" s="5" t="inlineStr">
        <is>
          <t>system</t>
        </is>
      </c>
      <c r="G17" s="27" t="n">
        <v>0</v>
      </c>
      <c r="H17" s="27" t="n">
        <v>1</v>
      </c>
      <c r="I17" s="27" t="n">
        <v>1</v>
      </c>
      <c r="J17" s="22" t="n">
        <v>80</v>
      </c>
      <c r="K17" s="22">
        <f>IF(OR(H17="",J17="",J17=0),"",H17*J17)</f>
        <v/>
      </c>
      <c r="L17" s="5" t="inlineStr">
        <is>
          <t>IKEA</t>
        </is>
      </c>
      <c r="M17" s="5" t="inlineStr">
        <is>
          <t>IKEA BOAXEL second-wall add-on combo</t>
        </is>
      </c>
      <c r="N17" s="5" t="inlineStr"/>
      <c r="O17" s="5" t="inlineStr">
        <is>
          <t>Confirmed</t>
        </is>
      </c>
      <c r="P17" s="5" t="inlineStr">
        <is>
          <t>medium</t>
        </is>
      </c>
      <c r="Q17" s="5" t="inlineStr">
        <is>
          <t>ДОДАНО (review): краще ніж loose components | ДОДАНО (review): для 5'6" wall | Ціна збір: 2026-05-28</t>
        </is>
      </c>
    </row>
    <row r="18">
      <c r="A18" s="5" t="n">
        <v>14</v>
      </c>
      <c r="B18" s="5" t="inlineStr">
        <is>
          <t>Furnishing</t>
        </is>
      </c>
      <c r="C18" s="5" t="inlineStr">
        <is>
          <t>Storage System</t>
        </is>
      </c>
      <c r="D18" s="5" t="inlineStr">
        <is>
          <t>PAX Upgrade Alternative (Optional)</t>
        </is>
      </c>
      <c r="E18" s="5" t="inlineStr">
        <is>
          <t>Premium alternative до BOAXEL</t>
        </is>
      </c>
      <c r="F18" s="5" t="inlineStr">
        <is>
          <t>system</t>
        </is>
      </c>
      <c r="G18" s="27" t="n">
        <v>0</v>
      </c>
      <c r="H18" s="27" t="n">
        <v>0</v>
      </c>
      <c r="I18" s="27" t="n">
        <v>1</v>
      </c>
      <c r="J18" s="22" t="n">
        <v>350</v>
      </c>
      <c r="K18" s="22">
        <f>IF(OR(H18="",J18="",J18=0),"",H18*J18)</f>
        <v/>
      </c>
      <c r="L18" s="5" t="inlineStr">
        <is>
          <t>IKEA</t>
        </is>
      </c>
      <c r="M18" s="5" t="inlineStr">
        <is>
          <t>IKEA PAX wardrobe upgrade alternative</t>
        </is>
      </c>
      <c r="N18" s="5" t="inlineStr"/>
      <c r="O18" s="5" t="inlineStr">
        <is>
          <t>Optional</t>
        </is>
      </c>
      <c r="P18" s="5" t="inlineStr">
        <is>
          <t>medium</t>
        </is>
      </c>
      <c r="Q18" s="5" t="inlineStr">
        <is>
          <t>ДОДАНО (review): premium upgrade allowance | ДОДАНО (review): premium upgrade. Qty 0 baseline | Ціна збір: 2026-05-28</t>
        </is>
      </c>
    </row>
    <row r="19">
      <c r="A19" s="5" t="n">
        <v>15</v>
      </c>
      <c r="B19" s="5" t="inlineStr">
        <is>
          <t>Furnishing</t>
        </is>
      </c>
      <c r="C19" s="5" t="inlineStr">
        <is>
          <t>Cross-ref</t>
        </is>
      </c>
      <c r="D19" s="5" t="inlineStr">
        <is>
          <t>Closet Sliding Door (cross-ref Phase 4)</t>
        </is>
      </c>
      <c r="E19" s="5" t="inlineStr">
        <is>
          <t>Phase 4 r8 — не дублювати</t>
        </is>
      </c>
      <c r="F19" s="5" t="inlineStr">
        <is>
          <t>—</t>
        </is>
      </c>
      <c r="G19" s="27" t="n">
        <v>0</v>
      </c>
      <c r="H19" s="27" t="n">
        <v>0</v>
      </c>
      <c r="I19" s="27" t="n">
        <v>0</v>
      </c>
      <c r="J19" s="22" t="n">
        <v>0</v>
      </c>
      <c r="K19" s="22">
        <f>IF(OR(H19="",J19="",J19=0),"",H19*J19)</f>
        <v/>
      </c>
      <c r="L19" s="5" t="inlineStr">
        <is>
          <t>—</t>
        </is>
      </c>
      <c r="M19" s="5" t="inlineStr">
        <is>
          <t>Cross-ref Phase 4 r8 — qty 0</t>
        </is>
      </c>
      <c r="N19" s="5" t="inlineStr"/>
      <c r="O19" s="5" t="inlineStr">
        <is>
          <t>Confirmed</t>
        </is>
      </c>
      <c r="P19" s="5" t="inlineStr">
        <is>
          <t>high</t>
        </is>
      </c>
      <c r="Q19" s="5" t="inlineStr">
        <is>
          <t>ДОДАНО: sliding door в Phase 4 r8 $250 | ДОДАНО: closet sliding door in Phase 4 | Ціна збір: 2026-05-28</t>
        </is>
      </c>
    </row>
    <row r="20">
      <c r="A20" s="5" t="n">
        <v>16</v>
      </c>
      <c r="B20" s="5" t="inlineStr">
        <is>
          <t>Furnishing</t>
        </is>
      </c>
      <c r="C20" s="5" t="inlineStr">
        <is>
          <t>Cross-ref</t>
        </is>
      </c>
      <c r="D20" s="5" t="inlineStr">
        <is>
          <t>Closet Motion Light (cross-ref Phase 6)</t>
        </is>
      </c>
      <c r="E20" s="5" t="inlineStr">
        <is>
          <t>Phase 6 r25 — не дублювати</t>
        </is>
      </c>
      <c r="F20" s="5" t="inlineStr">
        <is>
          <t>—</t>
        </is>
      </c>
      <c r="G20" s="27" t="n">
        <v>0</v>
      </c>
      <c r="H20" s="27" t="n">
        <v>0</v>
      </c>
      <c r="I20" s="27" t="n">
        <v>0</v>
      </c>
      <c r="J20" s="22" t="n">
        <v>0</v>
      </c>
      <c r="K20" s="22">
        <f>IF(OR(H20="",J20="",J20=0),"",H20*J20)</f>
        <v/>
      </c>
      <c r="L20" s="5" t="inlineStr">
        <is>
          <t>—</t>
        </is>
      </c>
      <c r="M20" s="5" t="inlineStr">
        <is>
          <t>Cross-ref Phase 6 r25 — qty 0</t>
        </is>
      </c>
      <c r="N20" s="5" t="inlineStr"/>
      <c r="O20" s="5" t="inlineStr">
        <is>
          <t>Confirmed</t>
        </is>
      </c>
      <c r="P20" s="5" t="inlineStr">
        <is>
          <t>high</t>
        </is>
      </c>
      <c r="Q20" s="5" t="inlineStr">
        <is>
          <t>ДОДАНО: closet motion light Phase 6 r25 $30 | ДОДАНО: closet motion light in Phase 6 | Ціна збір: 2026-05-28</t>
        </is>
      </c>
    </row>
    <row r="21">
      <c r="A21" s="5" t="n">
        <v>17</v>
      </c>
      <c r="B21" s="5" t="inlineStr">
        <is>
          <t>Furnishing</t>
        </is>
      </c>
      <c r="C21" s="5" t="inlineStr">
        <is>
          <t>Accessories</t>
        </is>
      </c>
      <c r="D21" s="5" t="inlineStr">
        <is>
          <t>Hangers Set (Optional)</t>
        </is>
      </c>
      <c r="E21" s="5" t="inlineStr">
        <is>
          <t>Якщо ready-to-use furnishing</t>
        </is>
      </c>
      <c r="F21" s="5" t="inlineStr">
        <is>
          <t>set</t>
        </is>
      </c>
      <c r="G21" s="27" t="n">
        <v>0</v>
      </c>
      <c r="H21" s="27" t="n">
        <v>0</v>
      </c>
      <c r="I21" s="27" t="n">
        <v>1</v>
      </c>
      <c r="J21" s="22" t="n">
        <v>20</v>
      </c>
      <c r="K21" s="22">
        <f>IF(OR(H21="",J21="",J21=0),"",H21*J21)</f>
        <v/>
      </c>
      <c r="L21" s="5" t="inlineStr">
        <is>
          <t>IKEA</t>
        </is>
      </c>
      <c r="M21" s="5" t="inlineStr">
        <is>
          <t>Generic plastic hangers set 50pc</t>
        </is>
      </c>
      <c r="N21" s="5" t="inlineStr"/>
      <c r="O21" s="5" t="inlineStr">
        <is>
          <t>Optional</t>
        </is>
      </c>
      <c r="P21" s="5" t="inlineStr">
        <is>
          <t>medium</t>
        </is>
      </c>
      <c r="Q21" s="5" t="inlineStr">
        <is>
          <t>ДОДАНО (review) | ДОДАНО (review) | Ціна збір: 2026-05-28</t>
        </is>
      </c>
    </row>
    <row r="23">
      <c r="A23" s="8" t="n"/>
      <c r="B23" s="8" t="n"/>
      <c r="C23" s="9" t="inlineStr">
        <is>
          <t>ПІДСУМОК ФАЗИ</t>
        </is>
      </c>
      <c r="D23" s="8" t="n"/>
      <c r="E23" s="8" t="n"/>
      <c r="F23" s="8" t="n"/>
      <c r="G23" s="8" t="n"/>
      <c r="H23" s="8" t="n"/>
      <c r="I23" s="8" t="n"/>
      <c r="J23" s="8" t="n"/>
      <c r="K23" s="24">
        <f>SUM(K5:K21)</f>
        <v/>
      </c>
      <c r="L23" s="8" t="n"/>
      <c r="M23" s="8" t="n"/>
      <c r="N23" s="8" t="n"/>
      <c r="O23" s="8" t="n"/>
      <c r="P23" s="8" t="n"/>
      <c r="Q23" s="8" t="n"/>
    </row>
  </sheetData>
  <autoFilter ref="A4:Q21"/>
  <mergeCells count="2">
    <mergeCell ref="A2:Q2"/>
    <mergeCell ref="A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15 — Water Heater &amp; Utility (§16)</t>
        </is>
      </c>
    </row>
    <row r="2" ht="18" customHeight="1">
      <c r="A2" s="3" t="inlineStr">
        <is>
          <t>Electric tank 20-30 gal + seismic strap + utility closet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MEP — Water Heater</t>
        </is>
      </c>
      <c r="C5" s="5" t="inlineStr">
        <is>
          <t>Water Heater</t>
        </is>
      </c>
      <c r="D5" s="5" t="inlineStr">
        <is>
          <t>Electric Tank Water Heater</t>
        </is>
      </c>
      <c r="E5" s="5" t="inlineStr">
        <is>
          <t>Rheem Performance 30 gal short 240V</t>
        </is>
      </c>
      <c r="F5" s="5" t="inlineStr">
        <is>
          <t>pcs</t>
        </is>
      </c>
      <c r="G5" s="27" t="n">
        <v>1</v>
      </c>
      <c r="H5" s="27" t="n">
        <v>1</v>
      </c>
      <c r="I5" s="27" t="n">
        <v>1</v>
      </c>
      <c r="J5" s="22" t="n">
        <v>429</v>
      </c>
      <c r="K5" s="22">
        <f>IF(OR(H5="",J5="",J5=0),"",H5*J5)</f>
        <v/>
      </c>
      <c r="L5" s="5" t="inlineStr">
        <is>
          <t>Home Depot</t>
        </is>
      </c>
      <c r="M5" s="5" t="inlineStr">
        <is>
          <t>Rheem Performance 30 Gal Short 240V</t>
        </is>
      </c>
      <c r="N5" s="5" t="inlineStr">
        <is>
          <t>https://www.homedepot.com/p/Rheem-Performance-30-Gal-4500-Watt-Elements-Short-Electric-Water-Heater-with-6-Year-Tank-Warranty-and-240-Volt-XE30S06ST45U1/326590405</t>
        </is>
      </c>
      <c r="O5" s="5" t="inlineStr">
        <is>
          <t>Confirmed</t>
        </is>
      </c>
      <c r="P5" s="5" t="inlineStr">
        <is>
          <t>high</t>
        </is>
      </c>
      <c r="Q5" s="5" t="inlineStr">
        <is>
          <t>Rheem XE30S06ST45U1 short tank. §33.7 verify sizing + verify clearance — 30 gal must fit utility closet з service access | $379 promo / $429 regular. 4500W 6-yr warranty | Ціна збір: 2026-05-28</t>
        </is>
      </c>
    </row>
    <row r="6">
      <c r="A6" s="5" t="n">
        <v>2</v>
      </c>
      <c r="B6" s="5" t="inlineStr">
        <is>
          <t>MEP — Water Heater</t>
        </is>
      </c>
      <c r="C6" s="5" t="inlineStr">
        <is>
          <t>Water Heater</t>
        </is>
      </c>
      <c r="D6" s="5" t="inlineStr">
        <is>
          <t>Water Heater Pan</t>
        </is>
      </c>
      <c r="E6" s="5" t="inlineStr">
        <is>
          <t>24-26" round metal/plastic</t>
        </is>
      </c>
      <c r="F6" s="5" t="inlineStr">
        <is>
          <t>pcs</t>
        </is>
      </c>
      <c r="G6" s="27" t="n">
        <v>1</v>
      </c>
      <c r="H6" s="27" t="n">
        <v>1</v>
      </c>
      <c r="I6" s="27" t="n">
        <v>1</v>
      </c>
      <c r="J6" s="22" t="n">
        <v>25</v>
      </c>
      <c r="K6" s="22">
        <f>IF(OR(H6="",J6="",J6=0),"",H6*J6)</f>
        <v/>
      </c>
      <c r="L6" s="5" t="inlineStr">
        <is>
          <t>Home Depot</t>
        </is>
      </c>
      <c r="M6" s="5" t="inlineStr">
        <is>
          <t>Camco 24" round WH pan</t>
        </is>
      </c>
      <c r="N6" s="5" t="inlineStr"/>
      <c r="O6" s="5" t="inlineStr">
        <is>
          <t>Confirmed</t>
        </is>
      </c>
      <c r="P6" s="5" t="inlineStr">
        <is>
          <t>medium</t>
        </is>
      </c>
      <c r="Q6" s="5" t="inlineStr">
        <is>
          <t>Catch leak protection |  | Ціна збір: 2026-05-28</t>
        </is>
      </c>
    </row>
    <row r="7">
      <c r="A7" s="5" t="n">
        <v>3</v>
      </c>
      <c r="B7" s="5" t="inlineStr">
        <is>
          <t>MEP — Water Heater</t>
        </is>
      </c>
      <c r="C7" s="5" t="inlineStr">
        <is>
          <t>Water Heater</t>
        </is>
      </c>
      <c r="D7" s="5" t="inlineStr">
        <is>
          <t>Pan Drain Line</t>
        </is>
      </c>
      <c r="E7" s="5" t="inlineStr">
        <is>
          <t>3/4" PVC до termination</t>
        </is>
      </c>
      <c r="F7" s="5" t="inlineStr">
        <is>
          <t>ft</t>
        </is>
      </c>
      <c r="G7" s="27" t="n">
        <v>5</v>
      </c>
      <c r="H7" s="27" t="n">
        <v>10</v>
      </c>
      <c r="I7" s="27" t="n">
        <v>15</v>
      </c>
      <c r="J7" s="22" t="n">
        <v>5</v>
      </c>
      <c r="K7" s="22">
        <f>IF(OR(H7="",J7="",J7=0),"",H7*J7)</f>
        <v/>
      </c>
      <c r="L7" s="5" t="inlineStr">
        <is>
          <t>Home Depot</t>
        </is>
      </c>
      <c r="M7" s="5" t="inlineStr">
        <is>
          <t>3/4" PVC drain pipe per ft</t>
        </is>
      </c>
      <c r="N7" s="5" t="inlineStr"/>
      <c r="O7" s="5" t="inlineStr">
        <is>
          <t>Confirmed</t>
        </is>
      </c>
      <c r="P7" s="5" t="inlineStr">
        <is>
          <t>medium</t>
        </is>
      </c>
      <c r="Q7" s="5" t="inlineStr">
        <is>
          <t>3/4" PVC consistent. Final size by plumber/product instructions. До exterior wall or floor drain | 3/4" consistent з spec | Ціна збір: 2026-05-28</t>
        </is>
      </c>
    </row>
    <row r="8">
      <c r="A8" s="5" t="n">
        <v>4</v>
      </c>
      <c r="B8" s="5" t="inlineStr">
        <is>
          <t>MEP — Water Heater</t>
        </is>
      </c>
      <c r="C8" s="5" t="inlineStr">
        <is>
          <t>Water Heater</t>
        </is>
      </c>
      <c r="D8" s="5" t="inlineStr">
        <is>
          <t>Flex Connectors (cross-ref Phase 5)</t>
        </is>
      </c>
      <c r="E8" s="5" t="inlineStr">
        <is>
          <t>Phase 5 r20 WH Connection Kit — не дублювати</t>
        </is>
      </c>
      <c r="F8" s="5" t="inlineStr">
        <is>
          <t>pcs</t>
        </is>
      </c>
      <c r="G8" s="27" t="n">
        <v>0</v>
      </c>
      <c r="H8" s="27" t="n">
        <v>0</v>
      </c>
      <c r="I8" s="27" t="n">
        <v>0</v>
      </c>
      <c r="J8" s="22" t="n">
        <v>0</v>
      </c>
      <c r="K8" s="22">
        <f>IF(OR(H8="",J8="",J8=0),"",H8*J8)</f>
        <v/>
      </c>
      <c r="L8" s="5" t="inlineStr">
        <is>
          <t>—</t>
        </is>
      </c>
      <c r="M8" s="5" t="inlineStr">
        <is>
          <t>Cross-ref Phase 5 r20</t>
        </is>
      </c>
      <c r="N8" s="5" t="inlineStr"/>
      <c r="O8" s="5" t="inlineStr">
        <is>
          <t>Confirmed</t>
        </is>
      </c>
      <c r="P8" s="5" t="inlineStr">
        <is>
          <t>high</t>
        </is>
      </c>
      <c r="Q8" s="5" t="inlineStr">
        <is>
          <t>Cross-ref Phase 5 r20 $50 | Flex connectors у Phase 5 WH Connection Kit | Ціна збір: 2026-05-28</t>
        </is>
      </c>
    </row>
    <row r="9">
      <c r="A9" s="5" t="n">
        <v>5</v>
      </c>
      <c r="B9" s="5" t="inlineStr">
        <is>
          <t>MEP — Water Heater</t>
        </is>
      </c>
      <c r="C9" s="5" t="inlineStr">
        <is>
          <t>Water Heater</t>
        </is>
      </c>
      <c r="D9" s="5" t="inlineStr">
        <is>
          <t>Shut-off Valves WH (cross-ref Phase 5)</t>
        </is>
      </c>
      <c r="E9" s="5" t="inlineStr">
        <is>
          <t>Phase 5 r8 (19 total) — не дублювати</t>
        </is>
      </c>
      <c r="F9" s="5" t="inlineStr">
        <is>
          <t>pcs</t>
        </is>
      </c>
      <c r="G9" s="27" t="n">
        <v>0</v>
      </c>
      <c r="H9" s="27" t="n">
        <v>0</v>
      </c>
      <c r="I9" s="27" t="n">
        <v>0</v>
      </c>
      <c r="J9" s="22" t="n">
        <v>0</v>
      </c>
      <c r="K9" s="22">
        <f>IF(OR(H9="",J9="",J9=0),"",H9*J9)</f>
        <v/>
      </c>
      <c r="L9" s="5" t="inlineStr">
        <is>
          <t>—</t>
        </is>
      </c>
      <c r="M9" s="5" t="inlineStr">
        <is>
          <t>Cross-ref Phase 5 r8</t>
        </is>
      </c>
      <c r="N9" s="5" t="inlineStr"/>
      <c r="O9" s="5" t="inlineStr">
        <is>
          <t>Confirmed</t>
        </is>
      </c>
      <c r="P9" s="5" t="inlineStr">
        <is>
          <t>high</t>
        </is>
      </c>
      <c r="Q9" s="5" t="inlineStr">
        <is>
          <t>Cross-ref Phase 5 r8 | Shut-offs у Phase 5 (19 total) | Ціна збір: 2026-05-28</t>
        </is>
      </c>
    </row>
    <row r="10">
      <c r="A10" s="5" t="n">
        <v>6</v>
      </c>
      <c r="B10" s="5" t="inlineStr">
        <is>
          <t>MEP — Water Heater</t>
        </is>
      </c>
      <c r="C10" s="5" t="inlineStr">
        <is>
          <t>Water Heater</t>
        </is>
      </c>
      <c r="D10" s="5" t="inlineStr">
        <is>
          <t>T&amp;P Relief Valve Discharge Pipe</t>
        </is>
      </c>
      <c r="E10" s="5" t="inlineStr">
        <is>
          <t>Cu 3/4" rigid pipe</t>
        </is>
      </c>
      <c r="F10" s="5" t="inlineStr">
        <is>
          <t>ft</t>
        </is>
      </c>
      <c r="G10" s="27" t="n">
        <v>3</v>
      </c>
      <c r="H10" s="27" t="n">
        <v>5</v>
      </c>
      <c r="I10" s="27" t="n">
        <v>7</v>
      </c>
      <c r="J10" s="22" t="n">
        <v>5</v>
      </c>
      <c r="K10" s="22">
        <f>IF(OR(H10="",J10="",J10=0),"",H10*J10)</f>
        <v/>
      </c>
      <c r="L10" s="5" t="inlineStr">
        <is>
          <t>Home Depot</t>
        </is>
      </c>
      <c r="M10" s="5" t="inlineStr">
        <is>
          <t>Cu 3/4" T&amp;P discharge pipe per ft</t>
        </is>
      </c>
      <c r="N10" s="5" t="inlineStr"/>
      <c r="O10" s="5" t="inlineStr">
        <is>
          <t>Confirmed</t>
        </is>
      </c>
      <c r="P10" s="5" t="inlineStr">
        <is>
          <t>medium</t>
        </is>
      </c>
      <c r="Q10" s="5" t="inlineStr">
        <is>
          <t xml:space="preserve"> | Ціна збір: 2026-05-28</t>
        </is>
      </c>
    </row>
    <row r="11">
      <c r="A11" s="5" t="n">
        <v>7</v>
      </c>
      <c r="B11" s="5" t="inlineStr">
        <is>
          <t>MEP — Water Heater</t>
        </is>
      </c>
      <c r="C11" s="5" t="inlineStr">
        <is>
          <t>Water Heater</t>
        </is>
      </c>
      <c r="D11" s="5" t="inlineStr">
        <is>
          <t>Expansion Tank</t>
        </is>
      </c>
      <c r="E11" s="5" t="inlineStr">
        <is>
          <t>If required by code</t>
        </is>
      </c>
      <c r="F11" s="5" t="inlineStr">
        <is>
          <t>pcs</t>
        </is>
      </c>
      <c r="G11" s="27" t="n">
        <v>0</v>
      </c>
      <c r="H11" s="27" t="n">
        <v>1</v>
      </c>
      <c r="I11" s="27" t="n">
        <v>1</v>
      </c>
      <c r="J11" s="22" t="n">
        <v>50</v>
      </c>
      <c r="K11" s="22">
        <f>IF(OR(H11="",J11="",J11=0),"",H11*J11)</f>
        <v/>
      </c>
      <c r="L11" s="5" t="inlineStr">
        <is>
          <t>Home Depot</t>
        </is>
      </c>
      <c r="M11" s="5" t="inlineStr">
        <is>
          <t>Watts thermal expansion tank</t>
        </is>
      </c>
      <c r="N11" s="5" t="inlineStr"/>
      <c r="O11" s="5" t="inlineStr">
        <is>
          <t>TBD</t>
        </is>
      </c>
      <c r="P11" s="5" t="inlineStr">
        <is>
          <t>medium</t>
        </is>
      </c>
      <c r="Q11" s="5" t="inlineStr">
        <is>
          <t>Verify Menlo Park code | If req'd by code | Ціна збір: 2026-05-28</t>
        </is>
      </c>
    </row>
    <row r="12">
      <c r="A12" s="5" t="n">
        <v>8</v>
      </c>
      <c r="B12" s="5" t="inlineStr">
        <is>
          <t>MEP — Water Heater</t>
        </is>
      </c>
      <c r="C12" s="5" t="inlineStr">
        <is>
          <t>Water Heater</t>
        </is>
      </c>
      <c r="D12" s="5" t="inlineStr">
        <is>
          <t>Seismic Strapping Kit</t>
        </is>
      </c>
      <c r="E12" s="5" t="inlineStr">
        <is>
          <t>CA mandatory — top + bottom straps</t>
        </is>
      </c>
      <c r="F12" s="5" t="inlineStr">
        <is>
          <t>set</t>
        </is>
      </c>
      <c r="G12" s="27" t="n">
        <v>1</v>
      </c>
      <c r="H12" s="27" t="n">
        <v>1</v>
      </c>
      <c r="I12" s="27" t="n">
        <v>1</v>
      </c>
      <c r="J12" s="22" t="n">
        <v>25</v>
      </c>
      <c r="K12" s="22">
        <f>IF(OR(H12="",J12="",J12=0),"",H12*J12)</f>
        <v/>
      </c>
      <c r="L12" s="5" t="inlineStr">
        <is>
          <t>Home Depot</t>
        </is>
      </c>
      <c r="M12" s="5" t="inlineStr">
        <is>
          <t>Holdrite/generic seismic strap kit</t>
        </is>
      </c>
      <c r="N12" s="5" t="inlineStr"/>
      <c r="O12" s="5" t="inlineStr">
        <is>
          <t>Confirmed</t>
        </is>
      </c>
      <c r="P12" s="5" t="inlineStr">
        <is>
          <t>medium</t>
        </is>
      </c>
      <c r="Q12" s="5" t="inlineStr">
        <is>
          <t>California code | CA mandatory | Ціна збір: 2026-05-28</t>
        </is>
      </c>
    </row>
    <row r="13">
      <c r="A13" s="5" t="n">
        <v>9</v>
      </c>
      <c r="B13" s="5" t="inlineStr">
        <is>
          <t>MEP — Water Heater</t>
        </is>
      </c>
      <c r="C13" s="5" t="inlineStr">
        <is>
          <t>Closet Construction</t>
        </is>
      </c>
      <c r="D13" s="5" t="inlineStr">
        <is>
          <t>Access / Louvered Door (cross-ref Phase 4)</t>
        </is>
      </c>
      <c r="E13" s="5" t="inlineStr">
        <is>
          <t>Phase 4 r11 Utility Closet Door — не дублювати</t>
        </is>
      </c>
      <c r="F13" s="5" t="inlineStr">
        <is>
          <t>pcs</t>
        </is>
      </c>
      <c r="G13" s="27" t="n">
        <v>0</v>
      </c>
      <c r="H13" s="27" t="n">
        <v>0</v>
      </c>
      <c r="I13" s="27" t="n">
        <v>0</v>
      </c>
      <c r="J13" s="22" t="n">
        <v>0</v>
      </c>
      <c r="K13" s="22">
        <f>IF(OR(H13="",J13="",J13=0),"",H13*J13)</f>
        <v/>
      </c>
      <c r="L13" s="5" t="inlineStr">
        <is>
          <t>—</t>
        </is>
      </c>
      <c r="M13" s="5" t="inlineStr">
        <is>
          <t>Cross-ref Phase 4 r11</t>
        </is>
      </c>
      <c r="N13" s="5" t="inlineStr"/>
      <c r="O13" s="5" t="inlineStr">
        <is>
          <t>Confirmed</t>
        </is>
      </c>
      <c r="P13" s="5" t="inlineStr">
        <is>
          <t>high</t>
        </is>
      </c>
      <c r="Q13" s="5" t="inlineStr">
        <is>
          <t>Cross-ref Phase 4 r11 $80 | Utility closet door already у Phase 4 $80 | Ціна збір: 2026-05-28</t>
        </is>
      </c>
    </row>
    <row r="14">
      <c r="A14" s="5" t="n">
        <v>10</v>
      </c>
      <c r="B14" s="5" t="inlineStr">
        <is>
          <t>MEP — Water Heater</t>
        </is>
      </c>
      <c r="C14" s="5" t="inlineStr">
        <is>
          <t>Closet Construction</t>
        </is>
      </c>
      <c r="D14" s="5" t="inlineStr">
        <is>
          <t>Ventilation Grille</t>
        </is>
      </c>
      <c r="E14" s="5" t="inlineStr">
        <is>
          <t>Air circulation для closet</t>
        </is>
      </c>
      <c r="F14" s="5" t="inlineStr">
        <is>
          <t>pcs</t>
        </is>
      </c>
      <c r="G14" s="27" t="n">
        <v>1</v>
      </c>
      <c r="H14" s="27" t="n">
        <v>1</v>
      </c>
      <c r="I14" s="27" t="n">
        <v>1</v>
      </c>
      <c r="J14" s="22" t="n">
        <v>20</v>
      </c>
      <c r="K14" s="22">
        <f>IF(OR(H14="",J14="",J14=0),"",H14*J14)</f>
        <v/>
      </c>
      <c r="L14" s="5" t="inlineStr">
        <is>
          <t>Home Depot</t>
        </is>
      </c>
      <c r="M14" s="5" t="inlineStr">
        <is>
          <t>Generic ventilation louver grille</t>
        </is>
      </c>
      <c r="N14" s="5" t="inlineStr"/>
      <c r="O14" s="5" t="inlineStr">
        <is>
          <t>Confirmed</t>
        </is>
      </c>
      <c r="P14" s="5" t="inlineStr">
        <is>
          <t>medium</t>
        </is>
      </c>
      <c r="Q14" s="5" t="inlineStr">
        <is>
          <t xml:space="preserve"> | Ціна збір: 2026-05-28</t>
        </is>
      </c>
    </row>
    <row r="15">
      <c r="A15" s="5" t="n">
        <v>11</v>
      </c>
      <c r="B15" s="5" t="inlineStr">
        <is>
          <t>MEP — Water Heater</t>
        </is>
      </c>
      <c r="C15" s="5" t="inlineStr">
        <is>
          <t>Water Heater</t>
        </is>
      </c>
      <c r="D15" s="5" t="inlineStr">
        <is>
          <t>Pan Drain Termination</t>
        </is>
      </c>
      <c r="E15" s="5" t="inlineStr">
        <is>
          <t>End fitting + exterior cap</t>
        </is>
      </c>
      <c r="F15" s="5" t="inlineStr">
        <is>
          <t>set</t>
        </is>
      </c>
      <c r="G15" s="27" t="n">
        <v>1</v>
      </c>
      <c r="H15" s="27" t="n">
        <v>1</v>
      </c>
      <c r="I15" s="27" t="n">
        <v>1</v>
      </c>
      <c r="J15" s="22" t="n">
        <v>15</v>
      </c>
      <c r="K15" s="22">
        <f>IF(OR(H15="",J15="",J15=0),"",H15*J15)</f>
        <v/>
      </c>
      <c r="L15" s="5" t="inlineStr">
        <is>
          <t>Home Depot</t>
        </is>
      </c>
      <c r="M15" s="5" t="inlineStr">
        <is>
          <t>Generic pan drain termination + cap</t>
        </is>
      </c>
      <c r="N15" s="5" t="inlineStr"/>
      <c r="O15" s="5" t="inlineStr">
        <is>
          <t>Confirmed</t>
        </is>
      </c>
      <c r="P15" s="5" t="inlineStr">
        <is>
          <t>medium</t>
        </is>
      </c>
      <c r="Q15" s="5" t="inlineStr">
        <is>
          <t>ДОДАНО: where pipe ends | ДОДАНО | Ціна збір: 2026-05-28</t>
        </is>
      </c>
    </row>
    <row r="16">
      <c r="A16" s="5" t="n">
        <v>12</v>
      </c>
      <c r="B16" s="5" t="inlineStr">
        <is>
          <t>MEP — Water Heater</t>
        </is>
      </c>
      <c r="C16" s="5" t="inlineStr">
        <is>
          <t>Water Heater</t>
        </is>
      </c>
      <c r="D16" s="5" t="inlineStr">
        <is>
          <t>T&amp;P Valve Replacement (Optional)</t>
        </is>
      </c>
      <c r="E16" s="5" t="inlineStr">
        <is>
          <t>Часто включений з WH</t>
        </is>
      </c>
      <c r="F16" s="5" t="inlineStr">
        <is>
          <t>pcs</t>
        </is>
      </c>
      <c r="G16" s="27" t="n">
        <v>0</v>
      </c>
      <c r="H16" s="27" t="n">
        <v>0</v>
      </c>
      <c r="I16" s="27" t="n">
        <v>1</v>
      </c>
      <c r="J16" s="22" t="n">
        <v>25</v>
      </c>
      <c r="K16" s="22">
        <f>IF(OR(H16="",J16="",J16=0),"",H16*J16)</f>
        <v/>
      </c>
      <c r="L16" s="5" t="inlineStr">
        <is>
          <t>Home Depot</t>
        </is>
      </c>
      <c r="M16" s="5" t="inlineStr">
        <is>
          <t>Watts T&amp;P relief valve replacement</t>
        </is>
      </c>
      <c r="N16" s="5" t="inlineStr"/>
      <c r="O16" s="5" t="inlineStr">
        <is>
          <t>Optional</t>
        </is>
      </c>
      <c r="P16" s="5" t="inlineStr">
        <is>
          <t>medium</t>
        </is>
      </c>
      <c r="Q16" s="5" t="inlineStr">
        <is>
          <t>ДОДАНО | ДОДАНО: usually included з WH | Ціна збір: 2026-05-28</t>
        </is>
      </c>
    </row>
    <row r="17">
      <c r="A17" s="5" t="n">
        <v>13</v>
      </c>
      <c r="B17" s="5" t="inlineStr">
        <is>
          <t>MEP — Water Heater</t>
        </is>
      </c>
      <c r="C17" s="5" t="inlineStr">
        <is>
          <t>Water Heater</t>
        </is>
      </c>
      <c r="D17" s="5" t="inlineStr">
        <is>
          <t>Dielectric Union Fittings</t>
        </is>
      </c>
      <c r="E17" s="5" t="inlineStr">
        <is>
          <t>Required для steel/copper joint</t>
        </is>
      </c>
      <c r="F17" s="5" t="inlineStr">
        <is>
          <t>pcs</t>
        </is>
      </c>
      <c r="G17" s="27" t="n">
        <v>1</v>
      </c>
      <c r="H17" s="27" t="n">
        <v>2</v>
      </c>
      <c r="I17" s="27" t="n">
        <v>2</v>
      </c>
      <c r="J17" s="22" t="n">
        <v>7</v>
      </c>
      <c r="K17" s="22">
        <f>IF(OR(H17="",J17="",J17=0),"",H17*J17)</f>
        <v/>
      </c>
      <c r="L17" s="5" t="inlineStr">
        <is>
          <t>Home Depot</t>
        </is>
      </c>
      <c r="M17" s="5" t="inlineStr">
        <is>
          <t>Watts dielectric union 3/4"</t>
        </is>
      </c>
      <c r="N17" s="5" t="inlineStr"/>
      <c r="O17" s="5" t="inlineStr">
        <is>
          <t>Confirmed</t>
        </is>
      </c>
      <c r="P17" s="5" t="inlineStr">
        <is>
          <t>medium</t>
        </is>
      </c>
      <c r="Q17" s="5" t="inlineStr">
        <is>
          <t>ДОДАНО | ДОДАНО: per piece, qty 2 | Ціна збір: 2026-05-28</t>
        </is>
      </c>
    </row>
    <row r="18">
      <c r="A18" s="5" t="n">
        <v>14</v>
      </c>
      <c r="B18" s="5" t="inlineStr">
        <is>
          <t>MEP — Water Heater</t>
        </is>
      </c>
      <c r="C18" s="5" t="inlineStr">
        <is>
          <t>Water Heater</t>
        </is>
      </c>
      <c r="D18" s="5" t="inlineStr">
        <is>
          <t>Seismic Strap Fasteners (lag screws)</t>
        </is>
      </c>
      <c r="E18" s="5" t="inlineStr">
        <is>
          <t>Якщо не included з strap kit</t>
        </is>
      </c>
      <c r="F18" s="5" t="inlineStr">
        <is>
          <t>set</t>
        </is>
      </c>
      <c r="G18" s="27" t="n">
        <v>1</v>
      </c>
      <c r="H18" s="27" t="n">
        <v>1</v>
      </c>
      <c r="I18" s="27" t="n">
        <v>1</v>
      </c>
      <c r="J18" s="22" t="n">
        <v>10</v>
      </c>
      <c r="K18" s="22">
        <f>IF(OR(H18="",J18="",J18=0),"",H18*J18)</f>
        <v/>
      </c>
      <c r="L18" s="5" t="inlineStr">
        <is>
          <t>Home Depot</t>
        </is>
      </c>
      <c r="M18" s="5" t="inlineStr">
        <is>
          <t>Generic lag screws + fasteners set</t>
        </is>
      </c>
      <c r="N18" s="5" t="inlineStr"/>
      <c r="O18" s="5" t="inlineStr">
        <is>
          <t>Confirmed</t>
        </is>
      </c>
      <c r="P18" s="5" t="inlineStr">
        <is>
          <t>medium</t>
        </is>
      </c>
      <c r="Q18" s="5" t="inlineStr">
        <is>
          <t>ДОДАНО (review): для CA mandatory strap | ДОДАНО (review) | Ціна збір: 2026-05-28</t>
        </is>
      </c>
    </row>
    <row r="19">
      <c r="A19" s="5" t="n">
        <v>15</v>
      </c>
      <c r="B19" s="5" t="inlineStr">
        <is>
          <t>MEP — Water Heater</t>
        </is>
      </c>
      <c r="C19" s="5" t="inlineStr">
        <is>
          <t>Water Heater</t>
        </is>
      </c>
      <c r="D19" s="5" t="inlineStr">
        <is>
          <t>T&amp;P Discharge Termination Fitting</t>
        </is>
      </c>
      <c r="E19" s="5" t="inlineStr">
        <is>
          <t>Approved location end fitting</t>
        </is>
      </c>
      <c r="F19" s="5" t="inlineStr">
        <is>
          <t>set</t>
        </is>
      </c>
      <c r="G19" s="27" t="n">
        <v>1</v>
      </c>
      <c r="H19" s="27" t="n">
        <v>1</v>
      </c>
      <c r="I19" s="27" t="n">
        <v>1</v>
      </c>
      <c r="J19" s="22" t="n">
        <v>12</v>
      </c>
      <c r="K19" s="22">
        <f>IF(OR(H19="",J19="",J19=0),"",H19*J19)</f>
        <v/>
      </c>
      <c r="L19" s="5" t="inlineStr">
        <is>
          <t>Home Depot</t>
        </is>
      </c>
      <c r="M19" s="5" t="inlineStr">
        <is>
          <t>Generic T&amp;P discharge termination fitting</t>
        </is>
      </c>
      <c r="N19" s="5" t="inlineStr"/>
      <c r="O19" s="5" t="inlineStr">
        <is>
          <t>Confirmed</t>
        </is>
      </c>
      <c r="P19" s="5" t="inlineStr">
        <is>
          <t>medium</t>
        </is>
      </c>
      <c r="Q19" s="5" t="inlineStr">
        <is>
          <t>ДОДАНО (review) | ДОДАНО (review) | Ціна збір: 2026-05-28</t>
        </is>
      </c>
    </row>
    <row r="20">
      <c r="A20" s="5" t="n">
        <v>16</v>
      </c>
      <c r="B20" s="5" t="inlineStr">
        <is>
          <t>MEP — Water Heater</t>
        </is>
      </c>
      <c r="C20" s="5" t="inlineStr">
        <is>
          <t>Water Heater</t>
        </is>
      </c>
      <c r="D20" s="5" t="inlineStr">
        <is>
          <t>Drain Hose / Service Cap (Optional)</t>
        </is>
      </c>
      <c r="E20" s="5" t="inlineStr">
        <is>
          <t>Для maintenance / draining</t>
        </is>
      </c>
      <c r="F20" s="5" t="inlineStr">
        <is>
          <t>set</t>
        </is>
      </c>
      <c r="G20" s="27" t="n">
        <v>0</v>
      </c>
      <c r="H20" s="27" t="n">
        <v>0</v>
      </c>
      <c r="I20" s="27" t="n">
        <v>1</v>
      </c>
      <c r="J20" s="22" t="n">
        <v>15</v>
      </c>
      <c r="K20" s="22">
        <f>IF(OR(H20="",J20="",J20=0),"",H20*J20)</f>
        <v/>
      </c>
      <c r="L20" s="5" t="inlineStr">
        <is>
          <t>Home Depot</t>
        </is>
      </c>
      <c r="M20" s="5" t="inlineStr">
        <is>
          <t>Generic drain hose + service cap (Optional)</t>
        </is>
      </c>
      <c r="N20" s="5" t="inlineStr"/>
      <c r="O20" s="5" t="inlineStr">
        <is>
          <t>Optional</t>
        </is>
      </c>
      <c r="P20" s="5" t="inlineStr">
        <is>
          <t>medium</t>
        </is>
      </c>
      <c r="Q20" s="5" t="inlineStr">
        <is>
          <t>ДОДАНО (review) | ДОДАНО (review) | Ціна збір: 2026-05-28</t>
        </is>
      </c>
    </row>
    <row r="21">
      <c r="A21" s="5" t="n">
        <v>17</v>
      </c>
      <c r="B21" s="5" t="inlineStr">
        <is>
          <t>MEP — Water Heater</t>
        </is>
      </c>
      <c r="C21" s="5" t="inlineStr">
        <is>
          <t>Cross-ref</t>
        </is>
      </c>
      <c r="D21" s="5" t="inlineStr">
        <is>
          <t>WH Electrical Whip / Hardwire (Phase 6)</t>
        </is>
      </c>
      <c r="E21" s="5" t="inlineStr">
        <is>
          <t>Phase 6 — не дублювати</t>
        </is>
      </c>
      <c r="F21" s="5" t="inlineStr">
        <is>
          <t>—</t>
        </is>
      </c>
      <c r="G21" s="27" t="n">
        <v>0</v>
      </c>
      <c r="H21" s="27" t="n">
        <v>0</v>
      </c>
      <c r="I21" s="27" t="n">
        <v>0</v>
      </c>
      <c r="J21" s="22" t="n">
        <v>0</v>
      </c>
      <c r="K21" s="22">
        <f>IF(OR(H21="",J21="",J21=0),"",H21*J21)</f>
        <v/>
      </c>
      <c r="L21" s="5" t="inlineStr">
        <is>
          <t>—</t>
        </is>
      </c>
      <c r="M21" s="5" t="inlineStr">
        <is>
          <t>Cross-ref Phase 6 — qty 0</t>
        </is>
      </c>
      <c r="N21" s="5" t="inlineStr"/>
      <c r="O21" s="5" t="inlineStr">
        <is>
          <t>Confirmed</t>
        </is>
      </c>
      <c r="P21" s="5" t="inlineStr">
        <is>
          <t>high</t>
        </is>
      </c>
      <c r="Q21" s="5" t="inlineStr">
        <is>
          <t>ДОДАНО (review): WH typically hardwired через Phase 6 r9 240V cable + r6 30A breaker | ДОДАНО (review): WH electrical у Phase 6 | Ціна збір: 2026-05-28</t>
        </is>
      </c>
    </row>
    <row r="23">
      <c r="A23" s="8" t="n"/>
      <c r="B23" s="8" t="n"/>
      <c r="C23" s="9" t="inlineStr">
        <is>
          <t>ПІДСУМОК ФАЗИ</t>
        </is>
      </c>
      <c r="D23" s="8" t="n"/>
      <c r="E23" s="8" t="n"/>
      <c r="F23" s="8" t="n"/>
      <c r="G23" s="8" t="n"/>
      <c r="H23" s="8" t="n"/>
      <c r="I23" s="8" t="n"/>
      <c r="J23" s="8" t="n"/>
      <c r="K23" s="24">
        <f>SUM(K5:K21)</f>
        <v/>
      </c>
      <c r="L23" s="8" t="n"/>
      <c r="M23" s="8" t="n"/>
      <c r="N23" s="8" t="n"/>
      <c r="O23" s="8" t="n"/>
      <c r="P23" s="8" t="n"/>
      <c r="Q23" s="8" t="n"/>
    </row>
  </sheetData>
  <autoFilter ref="A4:Q21"/>
  <mergeCells count="2">
    <mergeCell ref="A2:Q2"/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16 — Appliances (§28)</t>
        </is>
      </c>
    </row>
    <row r="2" ht="18" customHeight="1">
      <c r="A2" s="3" t="inlineStr">
        <is>
          <t>5 kitchen + washer + dryer + stacking kit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Appliances</t>
        </is>
      </c>
      <c r="C5" s="5" t="inlineStr">
        <is>
          <t>Kitchen</t>
        </is>
      </c>
      <c r="D5" s="5" t="inlineStr">
        <is>
          <t>Refrigerator 24" compact</t>
        </is>
      </c>
      <c r="E5" s="5" t="inlineStr">
        <is>
          <t>Frigidaire FFTR1022QS 10 cu ft або equivalent</t>
        </is>
      </c>
      <c r="F5" s="5" t="inlineStr">
        <is>
          <t>pcs</t>
        </is>
      </c>
      <c r="G5" s="27" t="n">
        <v>1</v>
      </c>
      <c r="H5" s="27" t="n">
        <v>1</v>
      </c>
      <c r="I5" s="27" t="n">
        <v>1</v>
      </c>
      <c r="J5" s="22" t="n">
        <v>500</v>
      </c>
      <c r="K5" s="22">
        <f>IF(OR(H5="",J5="",J5=0),"",H5*J5)</f>
        <v/>
      </c>
      <c r="L5" s="5" t="inlineStr">
        <is>
          <t>Best Buy / Amazon / HD</t>
        </is>
      </c>
      <c r="M5" s="5" t="inlineStr">
        <is>
          <t>Frigidaire FFTR1022QS 24" compact fridge</t>
        </is>
      </c>
      <c r="N5" s="5" t="inlineStr"/>
      <c r="O5" s="5" t="inlineStr">
        <is>
          <t>Confirmed</t>
        </is>
      </c>
      <c r="P5" s="5" t="inlineStr">
        <is>
          <t>medium</t>
        </is>
      </c>
      <c r="Q5" s="5" t="inlineStr">
        <is>
          <t>24" compact | $400-650 range. 10 cu ft compact | Ціна збір: 2026-05-28</t>
        </is>
      </c>
    </row>
    <row r="6">
      <c r="A6" s="5" t="n">
        <v>2</v>
      </c>
      <c r="B6" s="5" t="inlineStr">
        <is>
          <t>Appliances</t>
        </is>
      </c>
      <c r="C6" s="5" t="inlineStr">
        <is>
          <t>Kitchen</t>
        </is>
      </c>
      <c r="D6" s="5" t="inlineStr">
        <is>
          <t>Electric Range 24"</t>
        </is>
      </c>
      <c r="E6" s="5" t="inlineStr">
        <is>
          <t>Frigidaire FFEH2422US або similar</t>
        </is>
      </c>
      <c r="F6" s="5" t="inlineStr">
        <is>
          <t>pcs</t>
        </is>
      </c>
      <c r="G6" s="27" t="n">
        <v>1</v>
      </c>
      <c r="H6" s="27" t="n">
        <v>1</v>
      </c>
      <c r="I6" s="27" t="n">
        <v>1</v>
      </c>
      <c r="J6" s="22" t="n">
        <v>650</v>
      </c>
      <c r="K6" s="22">
        <f>IF(OR(H6="",J6="",J6=0),"",H6*J6)</f>
        <v/>
      </c>
      <c r="L6" s="5" t="inlineStr">
        <is>
          <t>Best Buy / Home Depot</t>
        </is>
      </c>
      <c r="M6" s="5" t="inlineStr">
        <is>
          <t>Frigidaire FFEH2422US 24" electric range</t>
        </is>
      </c>
      <c r="N6" s="5" t="inlineStr">
        <is>
          <t>https://www.homedepot.com/p/Frigidaire-24-in-1-9-cu-ft-4-Burner-Element-Freestanding-Electric-Range-with-Manual-Clean-in-Stainless-Steel-FFEH2422US/309052067</t>
        </is>
      </c>
      <c r="O6" s="5" t="inlineStr">
        <is>
          <t>Confirmed</t>
        </is>
      </c>
      <c r="P6" s="5" t="inlineStr">
        <is>
          <t>medium</t>
        </is>
      </c>
      <c r="Q6" s="5" t="inlineStr">
        <is>
          <t>$500-800 range | Ціна збір: 2026-05-28</t>
        </is>
      </c>
    </row>
    <row r="7">
      <c r="A7" s="5" t="n">
        <v>3</v>
      </c>
      <c r="B7" s="5" t="inlineStr">
        <is>
          <t>Appliances</t>
        </is>
      </c>
      <c r="C7" s="5" t="inlineStr">
        <is>
          <t>Kitchen</t>
        </is>
      </c>
      <c r="D7" s="5" t="inlineStr">
        <is>
          <t>Dishwasher 24" (or 18")</t>
        </is>
      </c>
      <c r="E7" s="5" t="inlineStr">
        <is>
          <t>Bosch 100 series 24" baseline. 18" compact if kitchen tight (8.5 LF)</t>
        </is>
      </c>
      <c r="F7" s="5" t="inlineStr">
        <is>
          <t>pcs</t>
        </is>
      </c>
      <c r="G7" s="27" t="n">
        <v>1</v>
      </c>
      <c r="H7" s="27" t="n">
        <v>1</v>
      </c>
      <c r="I7" s="27" t="n">
        <v>1</v>
      </c>
      <c r="J7" s="22" t="n">
        <v>600</v>
      </c>
      <c r="K7" s="22">
        <f>IF(OR(H7="",J7="",J7=0),"",H7*J7)</f>
        <v/>
      </c>
      <c r="L7" s="5" t="inlineStr">
        <is>
          <t>Best Buy / Home Depot</t>
        </is>
      </c>
      <c r="M7" s="5" t="inlineStr">
        <is>
          <t>Bosch 100 series 24" compact dishwasher</t>
        </is>
      </c>
      <c r="N7" s="5" t="inlineStr"/>
      <c r="O7" s="5" t="inlineStr">
        <is>
          <t>Confirmed</t>
        </is>
      </c>
      <c r="P7" s="5" t="inlineStr">
        <is>
          <t>medium</t>
        </is>
      </c>
      <c r="Q7" s="5" t="inlineStr">
        <is>
          <t>Verify final size — 18" alternative for tight one-wall kitchen | $450-900 range. Bosch quiet | Ціна збір: 2026-05-28</t>
        </is>
      </c>
    </row>
    <row r="8">
      <c r="A8" s="5" t="n">
        <v>4</v>
      </c>
      <c r="B8" s="5" t="inlineStr">
        <is>
          <t>Appliances</t>
        </is>
      </c>
      <c r="C8" s="5" t="inlineStr">
        <is>
          <t>Kitchen</t>
        </is>
      </c>
      <c r="D8" s="5" t="inlineStr">
        <is>
          <t>Microwave / Range Hood Combo</t>
        </is>
      </c>
      <c r="E8" s="5" t="inlineStr">
        <is>
          <t>OTR (over-the-range) з vent fan</t>
        </is>
      </c>
      <c r="F8" s="5" t="inlineStr">
        <is>
          <t>pcs</t>
        </is>
      </c>
      <c r="G8" s="27" t="n">
        <v>1</v>
      </c>
      <c r="H8" s="27" t="n">
        <v>1</v>
      </c>
      <c r="I8" s="27" t="n">
        <v>1</v>
      </c>
      <c r="J8" s="22" t="n">
        <v>300</v>
      </c>
      <c r="K8" s="22">
        <f>IF(OR(H8="",J8="",J8=0),"",H8*J8)</f>
        <v/>
      </c>
      <c r="L8" s="5" t="inlineStr">
        <is>
          <t>Best Buy / Amazon</t>
        </is>
      </c>
      <c r="M8" s="5" t="inlineStr">
        <is>
          <t>GE JVM3160DFBB OTR microwave/hood</t>
        </is>
      </c>
      <c r="N8" s="5" t="inlineStr"/>
      <c r="O8" s="5" t="inlineStr">
        <is>
          <t>Confirmed</t>
        </is>
      </c>
      <c r="P8" s="5" t="inlineStr">
        <is>
          <t>medium</t>
        </is>
      </c>
      <c r="Q8" s="5" t="inlineStr">
        <is>
          <t>Needs ductwork (r13) | $200-400 range | Ціна збір: 2026-05-28</t>
        </is>
      </c>
    </row>
    <row r="9">
      <c r="A9" s="5" t="n">
        <v>5</v>
      </c>
      <c r="B9" s="5" t="inlineStr">
        <is>
          <t>Appliances</t>
        </is>
      </c>
      <c r="C9" s="5" t="inlineStr">
        <is>
          <t>Kitchen</t>
        </is>
      </c>
      <c r="D9" s="5" t="inlineStr">
        <is>
          <t>Garbage Disposal</t>
        </is>
      </c>
      <c r="E9" s="5" t="inlineStr">
        <is>
          <t>InSinkErator Badger 1/3 HP — Optional</t>
        </is>
      </c>
      <c r="F9" s="5" t="inlineStr">
        <is>
          <t>pcs</t>
        </is>
      </c>
      <c r="G9" s="27" t="n">
        <v>0</v>
      </c>
      <c r="H9" s="27" t="n">
        <v>0</v>
      </c>
      <c r="I9" s="27" t="n">
        <v>1</v>
      </c>
      <c r="J9" s="22" t="n">
        <v>115</v>
      </c>
      <c r="K9" s="22">
        <f>IF(OR(H9="",J9="",J9=0),"",H9*J9)</f>
        <v/>
      </c>
      <c r="L9" s="5" t="inlineStr">
        <is>
          <t>Home Depot</t>
        </is>
      </c>
      <c r="M9" s="5" t="inlineStr">
        <is>
          <t>InSinkErator Badger 1/3 HP disposal</t>
        </is>
      </c>
      <c r="N9" s="5" t="inlineStr"/>
      <c r="O9" s="5" t="inlineStr">
        <is>
          <t>Optional</t>
        </is>
      </c>
      <c r="P9" s="5" t="inlineStr">
        <is>
          <t>medium</t>
        </is>
      </c>
      <c r="Q9" s="5" t="inlineStr">
        <is>
          <t>Per ТЗ §28.1 optional | Qty 0 baseline — Optional per ТЗ | Ціна збір: 2026-05-28</t>
        </is>
      </c>
    </row>
    <row r="10">
      <c r="A10" s="19" t="n">
        <v>6</v>
      </c>
      <c r="B10" s="19" t="inlineStr">
        <is>
          <t>Appliances</t>
        </is>
      </c>
      <c r="C10" s="19" t="inlineStr">
        <is>
          <t>Laundry</t>
        </is>
      </c>
      <c r="D10" s="19" t="inlineStr">
        <is>
          <t>Compact Washer 24"</t>
        </is>
      </c>
      <c r="E10" s="19" t="inlineStr">
        <is>
          <t>Bosch 500 series WAT28402UC or equivalent</t>
        </is>
      </c>
      <c r="F10" s="19" t="inlineStr">
        <is>
          <t>pcs</t>
        </is>
      </c>
      <c r="G10" s="28" t="n">
        <v>1</v>
      </c>
      <c r="H10" s="28" t="n">
        <v>1</v>
      </c>
      <c r="I10" s="28" t="n">
        <v>1</v>
      </c>
      <c r="J10" s="29" t="n">
        <v>1000</v>
      </c>
      <c r="K10" s="29">
        <f>IF(OR(H10="",J10="",J10=0),"",H10*J10)</f>
        <v/>
      </c>
      <c r="L10" s="19" t="inlineStr">
        <is>
          <t>Special Order</t>
        </is>
      </c>
      <c r="M10" s="19" t="inlineStr">
        <is>
          <t>Bosch 500 WAT28402UC 24" front-load</t>
        </is>
      </c>
      <c r="N10" s="19" t="inlineStr"/>
      <c r="O10" s="19" t="inlineStr">
        <is>
          <t>Confirmed</t>
        </is>
      </c>
      <c r="P10" s="19" t="inlineStr">
        <is>
          <t>medium</t>
        </is>
      </c>
      <c r="Q10" s="19" t="inlineStr">
        <is>
          <t>Special Order. Lead 4-6 weeks. Model availability TBD — use equivalent current model | Special Order. $850-1,200 range | Ціна збір: 2026-05-28</t>
        </is>
      </c>
    </row>
    <row r="11">
      <c r="A11" s="19" t="n">
        <v>7</v>
      </c>
      <c r="B11" s="19" t="inlineStr">
        <is>
          <t>Appliances</t>
        </is>
      </c>
      <c r="C11" s="19" t="inlineStr">
        <is>
          <t>Laundry</t>
        </is>
      </c>
      <c r="D11" s="19" t="inlineStr">
        <is>
          <t>Ventless Compact Dryer 24"</t>
        </is>
      </c>
      <c r="E11" s="19" t="inlineStr">
        <is>
          <t>Bosch 500 series heat pump or equivalent</t>
        </is>
      </c>
      <c r="F11" s="19" t="inlineStr">
        <is>
          <t>pcs</t>
        </is>
      </c>
      <c r="G11" s="28" t="n">
        <v>1</v>
      </c>
      <c r="H11" s="28" t="n">
        <v>1</v>
      </c>
      <c r="I11" s="28" t="n">
        <v>1</v>
      </c>
      <c r="J11" s="29" t="n">
        <v>1400</v>
      </c>
      <c r="K11" s="29">
        <f>IF(OR(H11="",J11="",J11=0),"",H11*J11)</f>
        <v/>
      </c>
      <c r="L11" s="19" t="inlineStr">
        <is>
          <t>Special Order</t>
        </is>
      </c>
      <c r="M11" s="19" t="inlineStr">
        <is>
          <t>Bosch 500 WTG86402UC ventless heat pump</t>
        </is>
      </c>
      <c r="N11" s="19" t="inlineStr"/>
      <c r="O11" s="19" t="inlineStr">
        <is>
          <t>Confirmed</t>
        </is>
      </c>
      <c r="P11" s="19" t="inlineStr">
        <is>
          <t>medium</t>
        </is>
      </c>
      <c r="Q11" s="19" t="inlineStr">
        <is>
          <t>Special Order. Ventless. Availability TBD — use equivalent | Special Order. $1,200-1,700 range | Ціна збір: 2026-05-28</t>
        </is>
      </c>
    </row>
    <row r="12">
      <c r="A12" s="5" t="n">
        <v>8</v>
      </c>
      <c r="B12" s="5" t="inlineStr">
        <is>
          <t>Appliances</t>
        </is>
      </c>
      <c r="C12" s="5" t="inlineStr">
        <is>
          <t>Laundry</t>
        </is>
      </c>
      <c r="D12" s="5" t="inlineStr">
        <is>
          <t>Stacking Kit</t>
        </is>
      </c>
      <c r="E12" s="5" t="inlineStr">
        <is>
          <t>Brand-matched з washer/dryer</t>
        </is>
      </c>
      <c r="F12" s="5" t="inlineStr">
        <is>
          <t>pcs</t>
        </is>
      </c>
      <c r="G12" s="27" t="n">
        <v>1</v>
      </c>
      <c r="H12" s="27" t="n">
        <v>1</v>
      </c>
      <c r="I12" s="27" t="n">
        <v>1</v>
      </c>
      <c r="J12" s="22" t="n">
        <v>90</v>
      </c>
      <c r="K12" s="22">
        <f>IF(OR(H12="",J12="",J12=0),"",H12*J12)</f>
        <v/>
      </c>
      <c r="L12" s="5" t="inlineStr">
        <is>
          <t>Best Buy / Amazon</t>
        </is>
      </c>
      <c r="M12" s="5" t="inlineStr">
        <is>
          <t>Bosch stacking kit WTZ20410</t>
        </is>
      </c>
      <c r="N12" s="5" t="inlineStr"/>
      <c r="O12" s="5" t="inlineStr">
        <is>
          <t>Confirmed</t>
        </is>
      </c>
      <c r="P12" s="5" t="inlineStr">
        <is>
          <t>medium</t>
        </is>
      </c>
      <c r="Q12" s="5" t="inlineStr">
        <is>
          <t>Brand-matched | Ціна збір: 2026-05-28</t>
        </is>
      </c>
    </row>
    <row r="13">
      <c r="A13" s="5" t="n">
        <v>9</v>
      </c>
      <c r="B13" s="5" t="inlineStr">
        <is>
          <t>Appliances</t>
        </is>
      </c>
      <c r="C13" s="5" t="inlineStr">
        <is>
          <t>Kitchen Install</t>
        </is>
      </c>
      <c r="D13" s="5" t="inlineStr">
        <is>
          <t>Range Hood Ductwork + Cap</t>
        </is>
      </c>
      <c r="E13" s="5" t="inlineStr">
        <is>
          <t>4" або 6" round duct + exterior cap</t>
        </is>
      </c>
      <c r="F13" s="5" t="inlineStr">
        <is>
          <t>set</t>
        </is>
      </c>
      <c r="G13" s="27" t="n">
        <v>1</v>
      </c>
      <c r="H13" s="27" t="n">
        <v>1</v>
      </c>
      <c r="I13" s="27" t="n">
        <v>1</v>
      </c>
      <c r="J13" s="22" t="n">
        <v>50</v>
      </c>
      <c r="K13" s="22">
        <f>IF(OR(H13="",J13="",J13=0),"",H13*J13)</f>
        <v/>
      </c>
      <c r="L13" s="5" t="inlineStr">
        <is>
          <t>Home Depot</t>
        </is>
      </c>
      <c r="M13" s="5" t="inlineStr">
        <is>
          <t>Generic 4" round duct + exterior cap</t>
        </is>
      </c>
      <c r="N13" s="5" t="inlineStr"/>
      <c r="O13" s="5" t="inlineStr">
        <is>
          <t>Confirmed</t>
        </is>
      </c>
      <c r="P13" s="5" t="inlineStr">
        <is>
          <t>medium</t>
        </is>
      </c>
      <c r="Q13" s="5" t="inlineStr">
        <is>
          <t>ДОДАНО: vent microwave/hood до outside | ДОДАНО: microwave/hood vent | Ціна збір: 2026-05-28</t>
        </is>
      </c>
    </row>
    <row r="14">
      <c r="A14" s="5" t="n">
        <v>10</v>
      </c>
      <c r="B14" s="5" t="inlineStr">
        <is>
          <t>Appliances</t>
        </is>
      </c>
      <c r="C14" s="5" t="inlineStr">
        <is>
          <t>Kitchen Install</t>
        </is>
      </c>
      <c r="D14" s="5" t="inlineStr">
        <is>
          <t>Disposal Installation Kit (Optional)</t>
        </is>
      </c>
      <c r="E14" s="5" t="inlineStr">
        <is>
          <t>Drain + flange + plug cord</t>
        </is>
      </c>
      <c r="F14" s="5" t="inlineStr">
        <is>
          <t>set</t>
        </is>
      </c>
      <c r="G14" s="27" t="n">
        <v>0</v>
      </c>
      <c r="H14" s="27" t="n">
        <v>0</v>
      </c>
      <c r="I14" s="27" t="n">
        <v>1</v>
      </c>
      <c r="J14" s="22" t="n">
        <v>30</v>
      </c>
      <c r="K14" s="22">
        <f>IF(OR(H14="",J14="",J14=0),"",H14*J14)</f>
        <v/>
      </c>
      <c r="L14" s="5" t="inlineStr">
        <is>
          <t>Home Depot</t>
        </is>
      </c>
      <c r="M14" s="5" t="inlineStr">
        <is>
          <t>Generic disposal install kit (Optional)</t>
        </is>
      </c>
      <c r="N14" s="5" t="inlineStr"/>
      <c r="O14" s="5" t="inlineStr">
        <is>
          <t>Optional</t>
        </is>
      </c>
      <c r="P14" s="5" t="inlineStr">
        <is>
          <t>medium</t>
        </is>
      </c>
      <c r="Q14" s="5" t="inlineStr">
        <is>
          <t>ДОДАНО: tied до disposal r9 | ДОДАНО | Ціна збір: 2026-05-28</t>
        </is>
      </c>
    </row>
    <row r="15">
      <c r="A15" s="5" t="n">
        <v>11</v>
      </c>
      <c r="B15" s="5" t="inlineStr">
        <is>
          <t>Appliances</t>
        </is>
      </c>
      <c r="C15" s="5" t="inlineStr">
        <is>
          <t>Kitchen Install</t>
        </is>
      </c>
      <c r="D15" s="5" t="inlineStr">
        <is>
          <t>Disposal Air Switch (Optional)</t>
        </is>
      </c>
      <c r="E15" s="5" t="inlineStr">
        <is>
          <t>Counter-mounted alternative до wall switch</t>
        </is>
      </c>
      <c r="F15" s="5" t="inlineStr">
        <is>
          <t>pcs</t>
        </is>
      </c>
      <c r="G15" s="27" t="n">
        <v>0</v>
      </c>
      <c r="H15" s="27" t="n">
        <v>0</v>
      </c>
      <c r="I15" s="27" t="n">
        <v>1</v>
      </c>
      <c r="J15" s="22" t="n">
        <v>35</v>
      </c>
      <c r="K15" s="22">
        <f>IF(OR(H15="",J15="",J15=0),"",H15*J15)</f>
        <v/>
      </c>
      <c r="L15" s="5" t="inlineStr">
        <is>
          <t>Home Depot</t>
        </is>
      </c>
      <c r="M15" s="5" t="inlineStr">
        <is>
          <t>Generic disposal air switch (Optional)</t>
        </is>
      </c>
      <c r="N15" s="5" t="inlineStr"/>
      <c r="O15" s="5" t="inlineStr">
        <is>
          <t>Optional</t>
        </is>
      </c>
      <c r="P15" s="5" t="inlineStr">
        <is>
          <t>medium</t>
        </is>
      </c>
      <c r="Q15" s="5" t="inlineStr">
        <is>
          <t>ДОДАНО: CA Code alt | ДОДАНО | Ціна збір: 2026-05-28</t>
        </is>
      </c>
    </row>
    <row r="16">
      <c r="A16" s="5" t="n">
        <v>12</v>
      </c>
      <c r="B16" s="5" t="inlineStr">
        <is>
          <t>Appliances</t>
        </is>
      </c>
      <c r="C16" s="5" t="inlineStr">
        <is>
          <t>Appliance Install</t>
        </is>
      </c>
      <c r="D16" s="5" t="inlineStr">
        <is>
          <t>Range Power Cord</t>
        </is>
      </c>
      <c r="E16" s="5" t="inlineStr">
        <is>
          <t>14-50R baseline</t>
        </is>
      </c>
      <c r="F16" s="5" t="inlineStr">
        <is>
          <t>pcs</t>
        </is>
      </c>
      <c r="G16" s="27" t="n">
        <v>1</v>
      </c>
      <c r="H16" s="27" t="n">
        <v>1</v>
      </c>
      <c r="I16" s="27" t="n">
        <v>1</v>
      </c>
      <c r="J16" s="22" t="n">
        <v>25</v>
      </c>
      <c r="K16" s="22">
        <f>IF(OR(H16="",J16="",J16=0),"",H16*J16)</f>
        <v/>
      </c>
      <c r="L16" s="5" t="inlineStr">
        <is>
          <t>Home Depot</t>
        </is>
      </c>
      <c r="M16" s="5" t="inlineStr">
        <is>
          <t>Generic 14-50R range power cord 6 ft</t>
        </is>
      </c>
      <c r="N16" s="5" t="inlineStr"/>
      <c r="O16" s="5" t="inlineStr">
        <is>
          <t>Confirmed</t>
        </is>
      </c>
      <c r="P16" s="5" t="inlineStr">
        <is>
          <t>medium</t>
        </is>
      </c>
      <c r="Q16" s="5" t="inlineStr">
        <is>
          <t>Final cord type TBD by selected range specs | ДОДАНО | Ціна збір: 2026-05-28</t>
        </is>
      </c>
    </row>
    <row r="17">
      <c r="A17" s="5" t="n">
        <v>13</v>
      </c>
      <c r="B17" s="5" t="inlineStr">
        <is>
          <t>Appliances</t>
        </is>
      </c>
      <c r="C17" s="5" t="inlineStr">
        <is>
          <t>Appliance Install</t>
        </is>
      </c>
      <c r="D17" s="5" t="inlineStr">
        <is>
          <t>Dryer Power Cord</t>
        </is>
      </c>
      <c r="E17" s="5" t="inlineStr">
        <is>
          <t>3 or 4-prong</t>
        </is>
      </c>
      <c r="F17" s="5" t="inlineStr">
        <is>
          <t>pcs</t>
        </is>
      </c>
      <c r="G17" s="27" t="n">
        <v>1</v>
      </c>
      <c r="H17" s="27" t="n">
        <v>1</v>
      </c>
      <c r="I17" s="27" t="n">
        <v>1</v>
      </c>
      <c r="J17" s="22" t="n">
        <v>25</v>
      </c>
      <c r="K17" s="22">
        <f>IF(OR(H17="",J17="",J17=0),"",H17*J17)</f>
        <v/>
      </c>
      <c r="L17" s="5" t="inlineStr">
        <is>
          <t>Home Depot</t>
        </is>
      </c>
      <c r="M17" s="5" t="inlineStr">
        <is>
          <t>Generic 4-prong dryer cord</t>
        </is>
      </c>
      <c r="N17" s="5" t="inlineStr"/>
      <c r="O17" s="5" t="inlineStr">
        <is>
          <t>Confirmed</t>
        </is>
      </c>
      <c r="P17" s="5" t="inlineStr">
        <is>
          <t>medium</t>
        </is>
      </c>
      <c r="Q17" s="5" t="inlineStr">
        <is>
          <t>Final cord type TBD by selected dryer specs | ДОДАНО | Ціна збір: 2026-05-28</t>
        </is>
      </c>
    </row>
    <row r="18">
      <c r="A18" s="5" t="n">
        <v>14</v>
      </c>
      <c r="B18" s="5" t="inlineStr">
        <is>
          <t>Appliances</t>
        </is>
      </c>
      <c r="C18" s="5" t="inlineStr">
        <is>
          <t>Kitchen Install</t>
        </is>
      </c>
      <c r="D18" s="5" t="inlineStr">
        <is>
          <t>Dishwasher Installation Kit</t>
        </is>
      </c>
      <c r="E18" s="5" t="inlineStr">
        <is>
          <t>Water line + power cord + drain connection</t>
        </is>
      </c>
      <c r="F18" s="5" t="inlineStr">
        <is>
          <t>set</t>
        </is>
      </c>
      <c r="G18" s="27" t="n">
        <v>1</v>
      </c>
      <c r="H18" s="27" t="n">
        <v>1</v>
      </c>
      <c r="I18" s="27" t="n">
        <v>1</v>
      </c>
      <c r="J18" s="22" t="n">
        <v>25</v>
      </c>
      <c r="K18" s="22">
        <f>IF(OR(H18="",J18="",J18=0),"",H18*J18)</f>
        <v/>
      </c>
      <c r="L18" s="5" t="inlineStr">
        <is>
          <t>Home Depot</t>
        </is>
      </c>
      <c r="M18" s="5" t="inlineStr">
        <is>
          <t>Generic dishwasher install kit</t>
        </is>
      </c>
      <c r="N18" s="5" t="inlineStr"/>
      <c r="O18" s="5" t="inlineStr">
        <is>
          <t>Confirmed</t>
        </is>
      </c>
      <c r="P18" s="5" t="inlineStr">
        <is>
          <t>medium</t>
        </is>
      </c>
      <c r="Q18" s="5" t="inlineStr">
        <is>
          <t>ДОДАНО (review): often sold separately | ДОДАНО (review): water line + cord + drain | Ціна збір: 2026-05-28</t>
        </is>
      </c>
    </row>
    <row r="19">
      <c r="A19" s="5" t="n">
        <v>15</v>
      </c>
      <c r="B19" s="5" t="inlineStr">
        <is>
          <t>Appliances</t>
        </is>
      </c>
      <c r="C19" s="5" t="inlineStr">
        <is>
          <t>Laundry Install</t>
        </is>
      </c>
      <c r="D19" s="5" t="inlineStr">
        <is>
          <t>Washer Supply Hoses (pair)</t>
        </is>
      </c>
      <c r="E19" s="5" t="inlineStr">
        <is>
          <t>Stainless braided hot+cold</t>
        </is>
      </c>
      <c r="F19" s="5" t="inlineStr">
        <is>
          <t>set</t>
        </is>
      </c>
      <c r="G19" s="27" t="n">
        <v>1</v>
      </c>
      <c r="H19" s="27" t="n">
        <v>1</v>
      </c>
      <c r="I19" s="27" t="n">
        <v>1</v>
      </c>
      <c r="J19" s="22" t="n">
        <v>15</v>
      </c>
      <c r="K19" s="22">
        <f>IF(OR(H19="",J19="",J19=0),"",H19*J19)</f>
        <v/>
      </c>
      <c r="L19" s="5" t="inlineStr">
        <is>
          <t>Home Depot</t>
        </is>
      </c>
      <c r="M19" s="5" t="inlineStr">
        <is>
          <t>Stainless braided washer hose pair</t>
        </is>
      </c>
      <c r="N19" s="5" t="inlineStr"/>
      <c r="O19" s="5" t="inlineStr">
        <is>
          <t>Confirmed</t>
        </is>
      </c>
      <c r="P19" s="5" t="inlineStr">
        <is>
          <t>medium</t>
        </is>
      </c>
      <c r="Q19" s="5" t="inlineStr">
        <is>
          <t>ДОДАНО (review): часто NOT included з washer | ДОДАНО (review) | Ціна збір: 2026-05-28</t>
        </is>
      </c>
    </row>
    <row r="20">
      <c r="A20" s="5" t="n">
        <v>16</v>
      </c>
      <c r="B20" s="5" t="inlineStr">
        <is>
          <t>Appliances</t>
        </is>
      </c>
      <c r="C20" s="5" t="inlineStr">
        <is>
          <t>Laundry Install</t>
        </is>
      </c>
      <c r="D20" s="5" t="inlineStr">
        <is>
          <t>Dryer Condensate Drain Kit</t>
        </is>
      </c>
      <c r="E20" s="5" t="inlineStr">
        <is>
          <t>Ventless dryer drain hose + clamps</t>
        </is>
      </c>
      <c r="F20" s="5" t="inlineStr">
        <is>
          <t>set</t>
        </is>
      </c>
      <c r="G20" s="27" t="n">
        <v>1</v>
      </c>
      <c r="H20" s="27" t="n">
        <v>1</v>
      </c>
      <c r="I20" s="27" t="n">
        <v>1</v>
      </c>
      <c r="J20" s="22" t="n">
        <v>15</v>
      </c>
      <c r="K20" s="22">
        <f>IF(OR(H20="",J20="",J20=0),"",H20*J20)</f>
        <v/>
      </c>
      <c r="L20" s="5" t="inlineStr">
        <is>
          <t>Home Depot</t>
        </is>
      </c>
      <c r="M20" s="5" t="inlineStr">
        <is>
          <t>Generic dryer condensate drain kit</t>
        </is>
      </c>
      <c r="N20" s="5" t="inlineStr"/>
      <c r="O20" s="5" t="inlineStr">
        <is>
          <t>TBD</t>
        </is>
      </c>
      <c r="P20" s="5" t="inlineStr">
        <is>
          <t>medium</t>
        </is>
      </c>
      <c r="Q20" s="5" t="inlineStr">
        <is>
          <t>ДОДАНО (review): verify dryer model — може мати tank instead | ДОДАНО (review) | Ціна збір: 2026-05-28</t>
        </is>
      </c>
    </row>
    <row r="21">
      <c r="A21" s="5" t="n">
        <v>17</v>
      </c>
      <c r="B21" s="5" t="inlineStr">
        <is>
          <t>Appliances</t>
        </is>
      </c>
      <c r="C21" s="5" t="inlineStr">
        <is>
          <t>Kitchen Install</t>
        </is>
      </c>
      <c r="D21" s="5" t="inlineStr">
        <is>
          <t>OTR Microwave Duct Adapter + Foil Tape</t>
        </is>
      </c>
      <c r="E21" s="5" t="inlineStr">
        <is>
          <t>Rectangular-to-round adapter + foil tape + clamps</t>
        </is>
      </c>
      <c r="F21" s="5" t="inlineStr">
        <is>
          <t>set</t>
        </is>
      </c>
      <c r="G21" s="27" t="n">
        <v>1</v>
      </c>
      <c r="H21" s="27" t="n">
        <v>1</v>
      </c>
      <c r="I21" s="27" t="n">
        <v>1</v>
      </c>
      <c r="J21" s="22" t="n">
        <v>20</v>
      </c>
      <c r="K21" s="22">
        <f>IF(OR(H21="",J21="",J21=0),"",H21*J21)</f>
        <v/>
      </c>
      <c r="L21" s="5" t="inlineStr">
        <is>
          <t>Home Depot</t>
        </is>
      </c>
      <c r="M21" s="5" t="inlineStr">
        <is>
          <t>Generic OTR rectangular-to-round adapter + tape</t>
        </is>
      </c>
      <c r="N21" s="5" t="inlineStr"/>
      <c r="O21" s="5" t="inlineStr">
        <is>
          <t>Confirmed</t>
        </is>
      </c>
      <c r="P21" s="5" t="inlineStr">
        <is>
          <t>medium</t>
        </is>
      </c>
      <c r="Q21" s="5" t="inlineStr">
        <is>
          <t>ДОДАНО (review) | ДОДАНО (review) | Ціна збір: 2026-05-28</t>
        </is>
      </c>
    </row>
    <row r="23">
      <c r="A23" s="8" t="n"/>
      <c r="B23" s="8" t="n"/>
      <c r="C23" s="9" t="inlineStr">
        <is>
          <t>ПІДСУМОК ФАЗИ</t>
        </is>
      </c>
      <c r="D23" s="8" t="n"/>
      <c r="E23" s="8" t="n"/>
      <c r="F23" s="8" t="n"/>
      <c r="G23" s="8" t="n"/>
      <c r="H23" s="8" t="n"/>
      <c r="I23" s="8" t="n"/>
      <c r="J23" s="8" t="n"/>
      <c r="K23" s="24">
        <f>SUM(K5:K21)</f>
        <v/>
      </c>
      <c r="L23" s="8" t="n"/>
      <c r="M23" s="8" t="n"/>
      <c r="N23" s="8" t="n"/>
      <c r="O23" s="8" t="n"/>
      <c r="P23" s="8" t="n"/>
      <c r="Q23" s="8" t="n"/>
    </row>
  </sheetData>
  <autoFilter ref="A4:Q21"/>
  <mergeCells count="2">
    <mergeCell ref="A2:Q2"/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Phase 17 — Furniture (§29)</t>
        </is>
      </c>
    </row>
    <row r="2" ht="18" customHeight="1">
      <c r="A2" s="3" t="inlineStr">
        <is>
          <t>Living + Bedroom + Dining IKEA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Furniture</t>
        </is>
      </c>
      <c r="C5" s="5" t="inlineStr">
        <is>
          <t>Living Room</t>
        </is>
      </c>
      <c r="D5" s="5" t="inlineStr">
        <is>
          <t>Sofa / Sleeper Sofa</t>
        </is>
      </c>
      <c r="E5" s="5" t="inlineStr">
        <is>
          <t>FRIHETEN sleeper, Faringe light gray</t>
        </is>
      </c>
      <c r="F5" s="5" t="inlineStr">
        <is>
          <t>pcs</t>
        </is>
      </c>
      <c r="G5" s="27" t="n">
        <v>1</v>
      </c>
      <c r="H5" s="27" t="n">
        <v>1</v>
      </c>
      <c r="I5" s="27" t="n">
        <v>1</v>
      </c>
      <c r="J5" s="22" t="n">
        <v>899</v>
      </c>
      <c r="K5" s="22">
        <f>IF(OR(H5="",J5="",J5=0),"",H5*J5)</f>
        <v/>
      </c>
      <c r="L5" s="5" t="inlineStr">
        <is>
          <t>IKEA</t>
        </is>
      </c>
      <c r="M5" s="5" t="inlineStr">
        <is>
          <t>IKEA 405.512.31 — FRIHETEN</t>
        </is>
      </c>
      <c r="N5" s="5" t="inlineStr">
        <is>
          <t>https://www.ikea.com/us/en/p/friheten-sleeper-sofa-faringe-light-gray-40551231/</t>
        </is>
      </c>
      <c r="O5" s="5" t="inlineStr">
        <is>
          <t>Confirmed</t>
        </is>
      </c>
      <c r="P5" s="5" t="inlineStr">
        <is>
          <t>high</t>
        </is>
      </c>
      <c r="Q5" s="5" t="inlineStr">
        <is>
          <t>Living Room | FRIHETEN sleeper Faringe light gray, 88⅝×41⅜. Queen bed 78×56. Alt: LYCKSELE LÖVÅS Ransta natural $499 (twin) | Ціна збір: 2026-05-28</t>
        </is>
      </c>
    </row>
    <row r="6">
      <c r="A6" s="5" t="n">
        <v>2</v>
      </c>
      <c r="B6" s="5" t="inlineStr">
        <is>
          <t>Furniture</t>
        </is>
      </c>
      <c r="C6" s="5" t="inlineStr">
        <is>
          <t>Living Room</t>
        </is>
      </c>
      <c r="D6" s="5" t="inlineStr">
        <is>
          <t>Coffee Table</t>
        </is>
      </c>
      <c r="E6" s="5" t="inlineStr">
        <is>
          <t>LACK 35⅜, white stained oak</t>
        </is>
      </c>
      <c r="F6" s="5" t="inlineStr">
        <is>
          <t>pcs</t>
        </is>
      </c>
      <c r="G6" s="27" t="n">
        <v>1</v>
      </c>
      <c r="H6" s="27" t="n">
        <v>1</v>
      </c>
      <c r="I6" s="27" t="n">
        <v>1</v>
      </c>
      <c r="J6" s="22" t="n">
        <v>29.99</v>
      </c>
      <c r="K6" s="22">
        <f>IF(OR(H6="",J6="",J6=0),"",H6*J6)</f>
        <v/>
      </c>
      <c r="L6" s="5" t="inlineStr">
        <is>
          <t>IKEA</t>
        </is>
      </c>
      <c r="M6" s="5" t="inlineStr">
        <is>
          <t>IKEA 503.190.29 — LACK</t>
        </is>
      </c>
      <c r="N6" s="5" t="inlineStr">
        <is>
          <t>https://www.ikea.com/us/en/p/lack-coffee-table-white-stained-oak-effect-50319029/</t>
        </is>
      </c>
      <c r="O6" s="5" t="inlineStr">
        <is>
          <t>Confirmed</t>
        </is>
      </c>
      <c r="P6" s="5" t="inlineStr">
        <is>
          <t>high</t>
        </is>
      </c>
      <c r="Q6" s="5" t="inlineStr">
        <is>
          <t>Living Room | LACK 35⅜×21⅝, white stained oak effect | Ціна збір: 2026-05-28</t>
        </is>
      </c>
    </row>
    <row r="7">
      <c r="A7" s="5" t="n">
        <v>3</v>
      </c>
      <c r="B7" s="5" t="inlineStr">
        <is>
          <t>Furniture</t>
        </is>
      </c>
      <c r="C7" s="5" t="inlineStr">
        <is>
          <t>Living Room</t>
        </is>
      </c>
      <c r="D7" s="5" t="inlineStr">
        <is>
          <t>TV Bench / Media Unit</t>
        </is>
      </c>
      <c r="E7" s="5" t="inlineStr">
        <is>
          <t>BESTÅ 47¼ white stained oak</t>
        </is>
      </c>
      <c r="F7" s="5" t="inlineStr">
        <is>
          <t>pcs</t>
        </is>
      </c>
      <c r="G7" s="27" t="n">
        <v>1</v>
      </c>
      <c r="H7" s="27" t="n">
        <v>1</v>
      </c>
      <c r="I7" s="27" t="n">
        <v>1</v>
      </c>
      <c r="J7" s="22" t="n">
        <v>75</v>
      </c>
      <c r="K7" s="22">
        <f>IF(OR(H7="",J7="",J7=0),"",H7*J7)</f>
        <v/>
      </c>
      <c r="L7" s="5" t="inlineStr">
        <is>
          <t>IKEA</t>
        </is>
      </c>
      <c r="M7" s="5" t="inlineStr">
        <is>
          <t>IKEA 005.760.02 — BESTÅ</t>
        </is>
      </c>
      <c r="N7" s="5" t="inlineStr">
        <is>
          <t>https://www.ikea.com/us/en/p/besta-tv-unit-white-stained-oak-effect-00576002/</t>
        </is>
      </c>
      <c r="O7" s="5" t="inlineStr">
        <is>
          <t>Confirmed</t>
        </is>
      </c>
      <c r="P7" s="5" t="inlineStr">
        <is>
          <t>high</t>
        </is>
      </c>
      <c r="Q7" s="5" t="inlineStr">
        <is>
          <t>Living Room | BESTÅ 47¼", white stained oak. До TV 45". Якщо TV 55" — обрати 70⅞" | Ціна збір: 2026-05-28</t>
        </is>
      </c>
    </row>
    <row r="8">
      <c r="A8" s="5" t="n">
        <v>4</v>
      </c>
      <c r="B8" s="5" t="inlineStr">
        <is>
          <t>Furniture</t>
        </is>
      </c>
      <c r="C8" s="5" t="inlineStr">
        <is>
          <t>Living Room</t>
        </is>
      </c>
      <c r="D8" s="5" t="inlineStr">
        <is>
          <t>Storage Cabinet</t>
        </is>
      </c>
      <c r="E8" s="5" t="inlineStr">
        <is>
          <t>KALLAX 2x2 white stained oak</t>
        </is>
      </c>
      <c r="F8" s="5" t="inlineStr">
        <is>
          <t>pcs</t>
        </is>
      </c>
      <c r="G8" s="27" t="n">
        <v>1</v>
      </c>
      <c r="H8" s="27" t="n">
        <v>1</v>
      </c>
      <c r="I8" s="27" t="n">
        <v>1</v>
      </c>
      <c r="J8" s="22" t="n">
        <v>44.99</v>
      </c>
      <c r="K8" s="22">
        <f>IF(OR(H8="",J8="",J8=0),"",H8*J8)</f>
        <v/>
      </c>
      <c r="L8" s="5" t="inlineStr">
        <is>
          <t>IKEA</t>
        </is>
      </c>
      <c r="M8" s="5" t="inlineStr">
        <is>
          <t>IKEA 603.245.20 — KALLAX 2x2</t>
        </is>
      </c>
      <c r="N8" s="5" t="inlineStr">
        <is>
          <t>https://www.ikea.com/us/en/p/kallax-shelf-unit-white-stained-oak-effect-60324520/</t>
        </is>
      </c>
      <c r="O8" s="5" t="inlineStr">
        <is>
          <t>Confirmed</t>
        </is>
      </c>
      <c r="P8" s="5" t="inlineStr">
        <is>
          <t>high</t>
        </is>
      </c>
      <c r="Q8" s="5" t="inlineStr">
        <is>
          <t>Living Room | KALLAX 2x2 30⅛", white stained oak | Ціна збір: 2026-05-28</t>
        </is>
      </c>
    </row>
    <row r="9">
      <c r="A9" s="5" t="n">
        <v>5</v>
      </c>
      <c r="B9" s="5" t="inlineStr">
        <is>
          <t>Furniture</t>
        </is>
      </c>
      <c r="C9" s="5" t="inlineStr">
        <is>
          <t>Living Room</t>
        </is>
      </c>
      <c r="D9" s="5" t="inlineStr">
        <is>
          <t>Rug</t>
        </is>
      </c>
      <c r="E9" s="5" t="inlineStr">
        <is>
          <t>LOHALS jute 5'3×7'7</t>
        </is>
      </c>
      <c r="F9" s="5" t="inlineStr">
        <is>
          <t>pcs</t>
        </is>
      </c>
      <c r="G9" s="27" t="n">
        <v>1</v>
      </c>
      <c r="H9" s="27" t="n">
        <v>1</v>
      </c>
      <c r="I9" s="27" t="n">
        <v>1</v>
      </c>
      <c r="J9" s="22" t="n">
        <v>129.99</v>
      </c>
      <c r="K9" s="22">
        <f>IF(OR(H9="",J9="",J9=0),"",H9*J9)</f>
        <v/>
      </c>
      <c r="L9" s="5" t="inlineStr">
        <is>
          <t>IKEA</t>
        </is>
      </c>
      <c r="M9" s="5" t="inlineStr">
        <is>
          <t>IKEA 502.773.93 — LOHALS</t>
        </is>
      </c>
      <c r="N9" s="5" t="inlineStr">
        <is>
          <t>https://www.ikea.com/us/en/p/lohals-rug-flatwoven-natural-50277393/</t>
        </is>
      </c>
      <c r="O9" s="5" t="inlineStr">
        <is>
          <t>Confirmed</t>
        </is>
      </c>
      <c r="P9" s="5" t="inlineStr">
        <is>
          <t>high</t>
        </is>
      </c>
      <c r="Q9" s="5" t="inlineStr">
        <is>
          <t>Living Room | LOHALS jute 5'3×7'7, natural | Ціна збір: 2026-05-28</t>
        </is>
      </c>
    </row>
    <row r="10">
      <c r="A10" s="5" t="n">
        <v>6</v>
      </c>
      <c r="B10" s="5" t="inlineStr">
        <is>
          <t>Furniture</t>
        </is>
      </c>
      <c r="C10" s="5" t="inlineStr">
        <is>
          <t>Living Room</t>
        </is>
      </c>
      <c r="D10" s="5" t="inlineStr">
        <is>
          <t>Curtains + Blinds combo</t>
        </is>
      </c>
      <c r="E10" s="5" t="inlineStr">
        <is>
          <t>RITVA pair + TRETUR roller</t>
        </is>
      </c>
      <c r="F10" s="5" t="inlineStr">
        <is>
          <t>set</t>
        </is>
      </c>
      <c r="G10" s="27" t="n">
        <v>1</v>
      </c>
      <c r="H10" s="27" t="n">
        <v>1</v>
      </c>
      <c r="I10" s="27" t="n">
        <v>1</v>
      </c>
      <c r="J10" s="22" t="n">
        <v>104.98</v>
      </c>
      <c r="K10" s="22">
        <f>IF(OR(H10="",J10="",J10=0),"",H10*J10)</f>
        <v/>
      </c>
      <c r="L10" s="5" t="inlineStr">
        <is>
          <t>IKEA</t>
        </is>
      </c>
      <c r="M10" s="5" t="inlineStr">
        <is>
          <t>IKEA 405.564.17 (RITVA) + 803.804.64 (TRETUR)</t>
        </is>
      </c>
      <c r="N10" s="5" t="inlineStr">
        <is>
          <t>https://www.ikea.com/us/en/p/ritva-curtains-with-tie-backs-1-pair-white-40556417/</t>
        </is>
      </c>
      <c r="O10" s="5" t="inlineStr">
        <is>
          <t>Confirmed</t>
        </is>
      </c>
      <c r="P10" s="5" t="inlineStr">
        <is>
          <t>medium</t>
        </is>
      </c>
      <c r="Q10" s="5" t="inlineStr">
        <is>
          <t>French door + window | Combo: RITVA 57×84 pair $34.99 на French door + TRETUR roller 48×76¾ $69.99 на вікно | Ціна збір: 2026-05-28</t>
        </is>
      </c>
    </row>
    <row r="11">
      <c r="A11" s="5" t="n">
        <v>7</v>
      </c>
      <c r="B11" s="5" t="inlineStr">
        <is>
          <t>Furniture</t>
        </is>
      </c>
      <c r="C11" s="5" t="inlineStr">
        <is>
          <t>Living Room</t>
        </is>
      </c>
      <c r="D11" s="5" t="inlineStr">
        <is>
          <t>Floor Lamp</t>
        </is>
      </c>
      <c r="E11" s="5" t="inlineStr">
        <is>
          <t>VIDJA white</t>
        </is>
      </c>
      <c r="F11" s="5" t="inlineStr">
        <is>
          <t>pcs</t>
        </is>
      </c>
      <c r="G11" s="27" t="n">
        <v>1</v>
      </c>
      <c r="H11" s="27" t="n">
        <v>1</v>
      </c>
      <c r="I11" s="27" t="n">
        <v>1</v>
      </c>
      <c r="J11" s="22" t="n">
        <v>69.98999999999999</v>
      </c>
      <c r="K11" s="22">
        <f>IF(OR(H11="",J11="",J11=0),"",H11*J11)</f>
        <v/>
      </c>
      <c r="L11" s="5" t="inlineStr">
        <is>
          <t>IKEA</t>
        </is>
      </c>
      <c r="M11" s="5" t="inlineStr">
        <is>
          <t>IKEA 103.092.06 — VIDJA</t>
        </is>
      </c>
      <c r="N11" s="5" t="inlineStr">
        <is>
          <t>https://www.ikea.com/us/en/p/vidja-floor-lamp-white-10309206/</t>
        </is>
      </c>
      <c r="O11" s="5" t="inlineStr">
        <is>
          <t>Confirmed</t>
        </is>
      </c>
      <c r="P11" s="5" t="inlineStr">
        <is>
          <t>high</t>
        </is>
      </c>
      <c r="Q11" s="5" t="inlineStr">
        <is>
          <t>Living Room | VIDJA white floor lamp | Ціна збір: 2026-05-28</t>
        </is>
      </c>
    </row>
    <row r="12">
      <c r="A12" s="5" t="n">
        <v>8</v>
      </c>
      <c r="B12" s="5" t="inlineStr">
        <is>
          <t>Furniture</t>
        </is>
      </c>
      <c r="C12" s="5" t="inlineStr">
        <is>
          <t>Bedroom</t>
        </is>
      </c>
      <c r="D12" s="5" t="inlineStr">
        <is>
          <t>Full Bed Frame</t>
        </is>
      </c>
      <c r="E12" s="5" t="inlineStr">
        <is>
          <t>IKEA MALM Full white з LÖNSET slatted base</t>
        </is>
      </c>
      <c r="F12" s="5" t="inlineStr">
        <is>
          <t>pcs</t>
        </is>
      </c>
      <c r="G12" s="27" t="n">
        <v>1</v>
      </c>
      <c r="H12" s="27" t="n">
        <v>1</v>
      </c>
      <c r="I12" s="27" t="n">
        <v>1</v>
      </c>
      <c r="J12" s="22" t="n">
        <v>329</v>
      </c>
      <c r="K12" s="22">
        <f>IF(OR(H12="",J12="",J12=0),"",H12*J12)</f>
        <v/>
      </c>
      <c r="L12" s="5" t="inlineStr">
        <is>
          <t>IKEA</t>
        </is>
      </c>
      <c r="M12" s="5" t="inlineStr">
        <is>
          <t>IKEA MALM Full з LÖNSET base</t>
        </is>
      </c>
      <c r="N12" s="5" t="inlineStr">
        <is>
          <t>https://www.ikea.com/us/en/p/malm-bed-frame-white-loenset-s39019169/</t>
        </is>
      </c>
      <c r="O12" s="5" t="inlineStr">
        <is>
          <t>Confirmed</t>
        </is>
      </c>
      <c r="P12" s="5" t="inlineStr">
        <is>
          <t>high</t>
        </is>
      </c>
      <c r="Q12" s="5" t="inlineStr">
        <is>
          <t>54×75. LÖNSET base included | $329 з slatted base included | Ціна збір: 2026-05-28</t>
        </is>
      </c>
    </row>
    <row r="13">
      <c r="A13" s="5" t="n">
        <v>9</v>
      </c>
      <c r="B13" s="5" t="inlineStr">
        <is>
          <t>Furniture</t>
        </is>
      </c>
      <c r="C13" s="5" t="inlineStr">
        <is>
          <t>Bedroom</t>
        </is>
      </c>
      <c r="D13" s="5" t="inlineStr">
        <is>
          <t>Full Mattress</t>
        </is>
      </c>
      <c r="E13" s="5" t="inlineStr">
        <is>
          <t>IKEA HÖVÅG/MORGEDAL Full (HAFSLO discontinued US)</t>
        </is>
      </c>
      <c r="F13" s="5" t="inlineStr">
        <is>
          <t>pcs</t>
        </is>
      </c>
      <c r="G13" s="27" t="n">
        <v>1</v>
      </c>
      <c r="H13" s="27" t="n">
        <v>1</v>
      </c>
      <c r="I13" s="27" t="n">
        <v>1</v>
      </c>
      <c r="J13" s="22" t="n">
        <v>250</v>
      </c>
      <c r="K13" s="22">
        <f>IF(OR(H13="",J13="",J13=0),"",H13*J13)</f>
        <v/>
      </c>
      <c r="L13" s="5" t="inlineStr">
        <is>
          <t>IKEA</t>
        </is>
      </c>
      <c r="M13" s="5" t="inlineStr">
        <is>
          <t>IKEA HÖVÅG/MORGEDAL Full mattress</t>
        </is>
      </c>
      <c r="N13" s="5" t="inlineStr"/>
      <c r="O13" s="5" t="inlineStr">
        <is>
          <t>Confirmed</t>
        </is>
      </c>
      <c r="P13" s="5" t="inlineStr">
        <is>
          <t>medium</t>
        </is>
      </c>
      <c r="Q13" s="5" t="inlineStr">
        <is>
          <t>54×75 | HAFSLO discontinued. HÖVÅG spring $299, MORGEDAL foam $229. Mid $250 | Ціна збір: 2026-05-28</t>
        </is>
      </c>
    </row>
    <row r="14">
      <c r="A14" s="5" t="n">
        <v>10</v>
      </c>
      <c r="B14" s="5" t="inlineStr">
        <is>
          <t>Furniture</t>
        </is>
      </c>
      <c r="C14" s="5" t="inlineStr">
        <is>
          <t>Bedroom</t>
        </is>
      </c>
      <c r="D14" s="5" t="inlineStr">
        <is>
          <t>Nightstands</t>
        </is>
      </c>
      <c r="E14" s="5" t="inlineStr">
        <is>
          <t>IKEA MALM 2-drawer × 2</t>
        </is>
      </c>
      <c r="F14" s="5" t="inlineStr">
        <is>
          <t>pcs</t>
        </is>
      </c>
      <c r="G14" s="27" t="n">
        <v>1</v>
      </c>
      <c r="H14" s="27" t="n">
        <v>2</v>
      </c>
      <c r="I14" s="27" t="n">
        <v>2</v>
      </c>
      <c r="J14" s="22" t="n">
        <v>80</v>
      </c>
      <c r="K14" s="22">
        <f>IF(OR(H14="",J14="",J14=0),"",H14*J14)</f>
        <v/>
      </c>
      <c r="L14" s="5" t="inlineStr">
        <is>
          <t>IKEA</t>
        </is>
      </c>
      <c r="M14" s="5" t="inlineStr">
        <is>
          <t>IKEA MALM 2-drawer nightstand</t>
        </is>
      </c>
      <c r="N14" s="5" t="inlineStr"/>
      <c r="O14" s="5" t="inlineStr">
        <is>
          <t>Confirmed</t>
        </is>
      </c>
      <c r="P14" s="5" t="inlineStr">
        <is>
          <t>medium</t>
        </is>
      </c>
      <c r="Q14" s="5" t="inlineStr">
        <is>
          <t>Per pc | Ціна збір: 2026-05-28</t>
        </is>
      </c>
    </row>
    <row r="15">
      <c r="A15" s="5" t="n">
        <v>11</v>
      </c>
      <c r="B15" s="5" t="inlineStr">
        <is>
          <t>Furniture</t>
        </is>
      </c>
      <c r="C15" s="5" t="inlineStr">
        <is>
          <t>Bedroom</t>
        </is>
      </c>
      <c r="D15" s="5" t="inlineStr">
        <is>
          <t>Dresser / Small Storage</t>
        </is>
      </c>
      <c r="E15" s="5" t="inlineStr">
        <is>
          <t>IKEA MALM 4-drawer</t>
        </is>
      </c>
      <c r="F15" s="5" t="inlineStr">
        <is>
          <t>pcs</t>
        </is>
      </c>
      <c r="G15" s="27" t="n">
        <v>1</v>
      </c>
      <c r="H15" s="27" t="n">
        <v>1</v>
      </c>
      <c r="I15" s="27" t="n">
        <v>1</v>
      </c>
      <c r="J15" s="22" t="n">
        <v>179</v>
      </c>
      <c r="K15" s="22">
        <f>IF(OR(H15="",J15="",J15=0),"",H15*J15)</f>
        <v/>
      </c>
      <c r="L15" s="5" t="inlineStr">
        <is>
          <t>IKEA</t>
        </is>
      </c>
      <c r="M15" s="5" t="inlineStr">
        <is>
          <t>IKEA MALM 4-drawer dresser</t>
        </is>
      </c>
      <c r="N15" s="5" t="inlineStr"/>
      <c r="O15" s="5" t="inlineStr">
        <is>
          <t>Confirmed</t>
        </is>
      </c>
      <c r="P15" s="5" t="inlineStr">
        <is>
          <t>medium</t>
        </is>
      </c>
      <c r="Q15" s="5" t="inlineStr">
        <is>
          <t xml:space="preserve"> | Ціна збір: 2026-05-28</t>
        </is>
      </c>
    </row>
    <row r="16">
      <c r="A16" s="5" t="n">
        <v>12</v>
      </c>
      <c r="B16" s="5" t="inlineStr">
        <is>
          <t>Furniture</t>
        </is>
      </c>
      <c r="C16" s="5" t="inlineStr">
        <is>
          <t>Bedroom</t>
        </is>
      </c>
      <c r="D16" s="5" t="inlineStr">
        <is>
          <t>Bedside Lamps</t>
        </is>
      </c>
      <c r="E16" s="5" t="inlineStr">
        <is>
          <t>IKEA NYFORS/MELODI table lamps × 2</t>
        </is>
      </c>
      <c r="F16" s="5" t="inlineStr">
        <is>
          <t>pcs</t>
        </is>
      </c>
      <c r="G16" s="27" t="n">
        <v>1</v>
      </c>
      <c r="H16" s="27" t="n">
        <v>2</v>
      </c>
      <c r="I16" s="27" t="n">
        <v>2</v>
      </c>
      <c r="J16" s="22" t="n">
        <v>30</v>
      </c>
      <c r="K16" s="22">
        <f>IF(OR(H16="",J16="",J16=0),"",H16*J16)</f>
        <v/>
      </c>
      <c r="L16" s="5" t="inlineStr">
        <is>
          <t>IKEA</t>
        </is>
      </c>
      <c r="M16" s="5" t="inlineStr">
        <is>
          <t>IKEA NYFORS/MELODI table lamp</t>
        </is>
      </c>
      <c r="N16" s="5" t="inlineStr"/>
      <c r="O16" s="5" t="inlineStr">
        <is>
          <t>Confirmed</t>
        </is>
      </c>
      <c r="P16" s="5" t="inlineStr">
        <is>
          <t>medium</t>
        </is>
      </c>
      <c r="Q16" s="5" t="inlineStr">
        <is>
          <t>Per pc | Ціна збір: 2026-05-28</t>
        </is>
      </c>
    </row>
    <row r="17">
      <c r="A17" s="5" t="n">
        <v>13</v>
      </c>
      <c r="B17" s="5" t="inlineStr">
        <is>
          <t>Furniture</t>
        </is>
      </c>
      <c r="C17" s="5" t="inlineStr">
        <is>
          <t>Bedroom</t>
        </is>
      </c>
      <c r="D17" s="5" t="inlineStr">
        <is>
          <t>Window Covering (bedroom)</t>
        </is>
      </c>
      <c r="E17" s="5" t="inlineStr">
        <is>
          <t>RITVA panels (matched Living combo)</t>
        </is>
      </c>
      <c r="F17" s="5" t="inlineStr">
        <is>
          <t>set</t>
        </is>
      </c>
      <c r="G17" s="27" t="n">
        <v>1</v>
      </c>
      <c r="H17" s="27" t="n">
        <v>1</v>
      </c>
      <c r="I17" s="27" t="n">
        <v>1</v>
      </c>
      <c r="J17" s="22" t="n">
        <v>35</v>
      </c>
      <c r="K17" s="22">
        <f>IF(OR(H17="",J17="",J17=0),"",H17*J17)</f>
        <v/>
      </c>
      <c r="L17" s="5" t="inlineStr">
        <is>
          <t>IKEA</t>
        </is>
      </c>
      <c r="M17" s="5" t="inlineStr">
        <is>
          <t>IKEA RITVA curtain pair</t>
        </is>
      </c>
      <c r="N17" s="5" t="inlineStr"/>
      <c r="O17" s="5" t="inlineStr">
        <is>
          <t>Confirmed</t>
        </is>
      </c>
      <c r="P17" s="5" t="inlineStr">
        <is>
          <t>medium</t>
        </is>
      </c>
      <c r="Q17" s="5" t="inlineStr">
        <is>
          <t>Same as Living combo | Ціна збір: 2026-05-28</t>
        </is>
      </c>
    </row>
    <row r="18">
      <c r="A18" s="5" t="n">
        <v>14</v>
      </c>
      <c r="B18" s="5" t="inlineStr">
        <is>
          <t>Furniture</t>
        </is>
      </c>
      <c r="C18" s="5" t="inlineStr">
        <is>
          <t>Dining</t>
        </is>
      </c>
      <c r="D18" s="5" t="inlineStr">
        <is>
          <t>Round Dining Table</t>
        </is>
      </c>
      <c r="E18" s="5" t="inlineStr">
        <is>
          <t>30-35" IKEA KRAGSTA round або equivalent</t>
        </is>
      </c>
      <c r="F18" s="5" t="inlineStr">
        <is>
          <t>pcs</t>
        </is>
      </c>
      <c r="G18" s="27" t="n">
        <v>1</v>
      </c>
      <c r="H18" s="27" t="n">
        <v>1</v>
      </c>
      <c r="I18" s="27" t="n">
        <v>1</v>
      </c>
      <c r="J18" s="22" t="n">
        <v>130</v>
      </c>
      <c r="K18" s="22">
        <f>IF(OR(H18="",J18="",J18=0),"",H18*J18)</f>
        <v/>
      </c>
      <c r="L18" s="5" t="inlineStr">
        <is>
          <t>IKEA</t>
        </is>
      </c>
      <c r="M18" s="5" t="inlineStr">
        <is>
          <t>IKEA KRAGSTA round dining table 35"</t>
        </is>
      </c>
      <c r="N18" s="5" t="inlineStr"/>
      <c r="O18" s="5" t="inlineStr">
        <is>
          <t>Confirmed</t>
        </is>
      </c>
      <c r="P18" s="5" t="inlineStr">
        <is>
          <t>medium</t>
        </is>
      </c>
      <c r="Q18" s="5" t="inlineStr">
        <is>
          <t>DOCKSTA 41" alt $179 | Ціна збір: 2026-05-28</t>
        </is>
      </c>
    </row>
    <row r="19">
      <c r="A19" s="5" t="n">
        <v>15</v>
      </c>
      <c r="B19" s="5" t="inlineStr">
        <is>
          <t>Furniture</t>
        </is>
      </c>
      <c r="C19" s="5" t="inlineStr">
        <is>
          <t>Dining</t>
        </is>
      </c>
      <c r="D19" s="5" t="inlineStr">
        <is>
          <t>Dining Chairs</t>
        </is>
      </c>
      <c r="E19" s="5" t="inlineStr">
        <is>
          <t>IKEA TEODORES × 3 mid-priced</t>
        </is>
      </c>
      <c r="F19" s="5" t="inlineStr">
        <is>
          <t>pcs</t>
        </is>
      </c>
      <c r="G19" s="27" t="n">
        <v>2</v>
      </c>
      <c r="H19" s="27" t="n">
        <v>3</v>
      </c>
      <c r="I19" s="27" t="n">
        <v>4</v>
      </c>
      <c r="J19" s="22" t="n">
        <v>60</v>
      </c>
      <c r="K19" s="22">
        <f>IF(OR(H19="",J19="",J19=0),"",H19*J19)</f>
        <v/>
      </c>
      <c r="L19" s="5" t="inlineStr">
        <is>
          <t>IKEA</t>
        </is>
      </c>
      <c r="M19" s="5" t="inlineStr">
        <is>
          <t>IKEA TEODORES dining chair</t>
        </is>
      </c>
      <c r="N19" s="5" t="inlineStr"/>
      <c r="O19" s="5" t="inlineStr">
        <is>
          <t>Confirmed</t>
        </is>
      </c>
      <c r="P19" s="5" t="inlineStr">
        <is>
          <t>medium</t>
        </is>
      </c>
      <c r="Q19" s="5" t="inlineStr">
        <is>
          <t>Per chair. JANINGE alt $79 | Ціна збір: 2026-05-28</t>
        </is>
      </c>
    </row>
    <row r="20">
      <c r="A20" s="5" t="n">
        <v>16</v>
      </c>
      <c r="B20" s="5" t="inlineStr">
        <is>
          <t>Furniture</t>
        </is>
      </c>
      <c r="C20" s="5" t="inlineStr">
        <is>
          <t>Dining</t>
        </is>
      </c>
      <c r="D20" s="5" t="inlineStr">
        <is>
          <t>Pendant Light</t>
        </is>
      </c>
      <c r="E20" s="5" t="inlineStr">
        <is>
          <t>IKEA FOTO Optional</t>
        </is>
      </c>
      <c r="F20" s="5" t="inlineStr">
        <is>
          <t>pcs</t>
        </is>
      </c>
      <c r="G20" s="27" t="n">
        <v>0</v>
      </c>
      <c r="H20" s="27" t="n">
        <v>1</v>
      </c>
      <c r="I20" s="27" t="n">
        <v>1</v>
      </c>
      <c r="J20" s="22" t="n">
        <v>50</v>
      </c>
      <c r="K20" s="22">
        <f>IF(OR(H20="",J20="",J20=0),"",H20*J20)</f>
        <v/>
      </c>
      <c r="L20" s="5" t="inlineStr">
        <is>
          <t>IKEA / Home Depot</t>
        </is>
      </c>
      <c r="M20" s="5" t="inlineStr">
        <is>
          <t>IKEA FOTO pendant light (Optional)</t>
        </is>
      </c>
      <c r="N20" s="5" t="inlineStr"/>
      <c r="O20" s="5" t="inlineStr">
        <is>
          <t>Optional</t>
        </is>
      </c>
      <c r="P20" s="5" t="inlineStr">
        <is>
          <t>medium</t>
        </is>
      </c>
      <c r="Q20" s="5" t="inlineStr">
        <is>
          <t>Qty 0 baseline | Ціна збір: 2026-05-28</t>
        </is>
      </c>
    </row>
    <row r="21">
      <c r="A21" s="5" t="n">
        <v>17</v>
      </c>
      <c r="B21" s="5" t="inlineStr">
        <is>
          <t>Furniture</t>
        </is>
      </c>
      <c r="C21" s="5" t="inlineStr">
        <is>
          <t>Bathroom Storage</t>
        </is>
      </c>
      <c r="D21" s="5" t="inlineStr">
        <is>
          <t>Bathroom / Utility Storage</t>
        </is>
      </c>
      <c r="E21" s="5" t="inlineStr">
        <is>
          <t>Per §29.5: cabinet + shelves + organizers — Mid 1</t>
        </is>
      </c>
      <c r="F21" s="5" t="inlineStr">
        <is>
          <t>set</t>
        </is>
      </c>
      <c r="G21" s="27" t="n">
        <v>0</v>
      </c>
      <c r="H21" s="27" t="n">
        <v>1</v>
      </c>
      <c r="I21" s="27" t="n">
        <v>1</v>
      </c>
      <c r="J21" s="22" t="n">
        <v>80</v>
      </c>
      <c r="K21" s="22">
        <f>IF(OR(H21="",J21="",J21=0),"",H21*J21)</f>
        <v/>
      </c>
      <c r="L21" s="5" t="inlineStr">
        <is>
          <t>IKEA</t>
        </is>
      </c>
      <c r="M21" s="5" t="inlineStr">
        <is>
          <t>IKEA bathroom storage cabinet + shelves</t>
        </is>
      </c>
      <c r="N21" s="5" t="inlineStr"/>
      <c r="O21" s="5" t="inlineStr">
        <is>
          <t>Confirmed</t>
        </is>
      </c>
      <c r="P21" s="5" t="inlineStr">
        <is>
          <t>medium</t>
        </is>
      </c>
      <c r="Q21" s="5" t="inlineStr">
        <is>
          <t>Per ТЗ §29.5. Mid підвищено 0→1 (review) | Per §29.5. Mid підвищено 0→1 (review) | Ціна збір: 2026-05-28</t>
        </is>
      </c>
    </row>
    <row r="22">
      <c r="A22" s="5" t="n">
        <v>18</v>
      </c>
      <c r="B22" s="5" t="inlineStr">
        <is>
          <t>Furniture</t>
        </is>
      </c>
      <c r="C22" s="5" t="inlineStr">
        <is>
          <t>Soft Goods</t>
        </is>
      </c>
      <c r="D22" s="5" t="inlineStr">
        <is>
          <t>Curtain Rods / Brackets / Rings</t>
        </is>
      </c>
      <c r="E22" s="5" t="inlineStr">
        <is>
          <t>Hardware для всіх curtain panels</t>
        </is>
      </c>
      <c r="F22" s="5" t="inlineStr">
        <is>
          <t>set</t>
        </is>
      </c>
      <c r="G22" s="27" t="n">
        <v>1</v>
      </c>
      <c r="H22" s="27" t="n">
        <v>1</v>
      </c>
      <c r="I22" s="27" t="n">
        <v>2</v>
      </c>
      <c r="J22" s="22" t="n">
        <v>25</v>
      </c>
      <c r="K22" s="22">
        <f>IF(OR(H22="",J22="",J22=0),"",H22*J22)</f>
        <v/>
      </c>
      <c r="L22" s="5" t="inlineStr">
        <is>
          <t>IKEA / Home Depot</t>
        </is>
      </c>
      <c r="M22" s="5" t="inlineStr">
        <is>
          <t>IKEA RÄCKA curtain rod + brackets set</t>
        </is>
      </c>
      <c r="N22" s="5" t="inlineStr"/>
      <c r="O22" s="5" t="inlineStr">
        <is>
          <t>Confirmed</t>
        </is>
      </c>
      <c r="P22" s="5" t="inlineStr">
        <is>
          <t>medium</t>
        </is>
      </c>
      <c r="Q22" s="5" t="inlineStr">
        <is>
          <t>ДОДАНО (review): high priority | ДОДАНО (review) | Ціна збір: 2026-05-28</t>
        </is>
      </c>
    </row>
    <row r="23">
      <c r="A23" s="5" t="n">
        <v>19</v>
      </c>
      <c r="B23" s="5" t="inlineStr">
        <is>
          <t>Furniture</t>
        </is>
      </c>
      <c r="C23" s="5" t="inlineStr">
        <is>
          <t>Soft Goods</t>
        </is>
      </c>
      <c r="D23" s="5" t="inlineStr">
        <is>
          <t>Kitchen Window Covering</t>
        </is>
      </c>
      <c r="E23" s="5" t="inlineStr">
        <is>
          <t>RITVA panels або roller blind</t>
        </is>
      </c>
      <c r="F23" s="5" t="inlineStr">
        <is>
          <t>set</t>
        </is>
      </c>
      <c r="G23" s="27" t="n">
        <v>1</v>
      </c>
      <c r="H23" s="27" t="n">
        <v>1</v>
      </c>
      <c r="I23" s="27" t="n">
        <v>1</v>
      </c>
      <c r="J23" s="22" t="n">
        <v>35</v>
      </c>
      <c r="K23" s="22">
        <f>IF(OR(H23="",J23="",J23=0),"",H23*J23)</f>
        <v/>
      </c>
      <c r="L23" s="5" t="inlineStr">
        <is>
          <t>IKEA</t>
        </is>
      </c>
      <c r="M23" s="5" t="inlineStr">
        <is>
          <t>IKEA RITVA panels for kitchen window</t>
        </is>
      </c>
      <c r="N23" s="5" t="inlineStr"/>
      <c r="O23" s="5" t="inlineStr">
        <is>
          <t>Confirmed</t>
        </is>
      </c>
      <c r="P23" s="5" t="inlineStr">
        <is>
          <t>medium</t>
        </is>
      </c>
      <c r="Q23" s="5" t="inlineStr">
        <is>
          <t>ДОДАНО (review) | ДОДАНО (review) | Ціна збір: 2026-05-28</t>
        </is>
      </c>
    </row>
    <row r="24">
      <c r="A24" s="5" t="n">
        <v>20</v>
      </c>
      <c r="B24" s="5" t="inlineStr">
        <is>
          <t>Furniture</t>
        </is>
      </c>
      <c r="C24" s="5" t="inlineStr">
        <is>
          <t>Soft Goods</t>
        </is>
      </c>
      <c r="D24" s="5" t="inlineStr">
        <is>
          <t>Bathroom Window Covering</t>
        </is>
      </c>
      <c r="E24" s="5" t="inlineStr">
        <is>
          <t>Roller blind privacy</t>
        </is>
      </c>
      <c r="F24" s="5" t="inlineStr">
        <is>
          <t>set</t>
        </is>
      </c>
      <c r="G24" s="27" t="n">
        <v>1</v>
      </c>
      <c r="H24" s="27" t="n">
        <v>1</v>
      </c>
      <c r="I24" s="27" t="n">
        <v>1</v>
      </c>
      <c r="J24" s="22" t="n">
        <v>35</v>
      </c>
      <c r="K24" s="22">
        <f>IF(OR(H24="",J24="",J24=0),"",H24*J24)</f>
        <v/>
      </c>
      <c r="L24" s="5" t="inlineStr">
        <is>
          <t>IKEA</t>
        </is>
      </c>
      <c r="M24" s="5" t="inlineStr">
        <is>
          <t>IKEA TUPPLUR roller blind for bathroom</t>
        </is>
      </c>
      <c r="N24" s="5" t="inlineStr"/>
      <c r="O24" s="5" t="inlineStr">
        <is>
          <t>Confirmed</t>
        </is>
      </c>
      <c r="P24" s="5" t="inlineStr">
        <is>
          <t>medium</t>
        </is>
      </c>
      <c r="Q24" s="5" t="inlineStr">
        <is>
          <t>ДОДАНО (review) | ДОДАНО (review): privacy | Ціна збір: 2026-05-28</t>
        </is>
      </c>
    </row>
    <row r="25">
      <c r="A25" s="5" t="n">
        <v>21</v>
      </c>
      <c r="B25" s="5" t="inlineStr">
        <is>
          <t>Furniture</t>
        </is>
      </c>
      <c r="C25" s="5" t="inlineStr">
        <is>
          <t>Bedding</t>
        </is>
      </c>
      <c r="D25" s="5" t="inlineStr">
        <is>
          <t>Mattress Protector + Basic Bedding</t>
        </is>
      </c>
      <c r="E25" s="5" t="inlineStr">
        <is>
          <t>Protector + sheets + pillows + comforter allowance</t>
        </is>
      </c>
      <c r="F25" s="5" t="inlineStr">
        <is>
          <t>set</t>
        </is>
      </c>
      <c r="G25" s="27" t="n">
        <v>1</v>
      </c>
      <c r="H25" s="27" t="n">
        <v>1</v>
      </c>
      <c r="I25" s="27" t="n">
        <v>1</v>
      </c>
      <c r="J25" s="22" t="n">
        <v>60</v>
      </c>
      <c r="K25" s="22">
        <f>IF(OR(H25="",J25="",J25=0),"",H25*J25)</f>
        <v/>
      </c>
      <c r="L25" s="5" t="inlineStr">
        <is>
          <t>IKEA / Amazon</t>
        </is>
      </c>
      <c r="M25" s="5" t="inlineStr">
        <is>
          <t>Mattress protector + sheets/pillows/comforter allowance</t>
        </is>
      </c>
      <c r="N25" s="5" t="inlineStr"/>
      <c r="O25" s="5" t="inlineStr">
        <is>
          <t>Confirmed</t>
        </is>
      </c>
      <c r="P25" s="5" t="inlineStr">
        <is>
          <t>medium</t>
        </is>
      </c>
      <c r="Q25" s="5" t="inlineStr">
        <is>
          <t>ДОДАНО (review): medium pri | ДОДАНО (review) | Ціна збір: 2026-05-28</t>
        </is>
      </c>
    </row>
    <row r="26">
      <c r="A26" s="5" t="n">
        <v>22</v>
      </c>
      <c r="B26" s="5" t="inlineStr">
        <is>
          <t>Furniture</t>
        </is>
      </c>
      <c r="C26" s="5" t="inlineStr">
        <is>
          <t>Safety</t>
        </is>
      </c>
      <c r="D26" s="5" t="inlineStr">
        <is>
          <t>Anti-tip Straps / Wall Anchors</t>
        </is>
      </c>
      <c r="E26" s="5" t="inlineStr">
        <is>
          <t>Для MALM dresser, KALLAX, storage</t>
        </is>
      </c>
      <c r="F26" s="5" t="inlineStr">
        <is>
          <t>set</t>
        </is>
      </c>
      <c r="G26" s="27" t="n">
        <v>1</v>
      </c>
      <c r="H26" s="27" t="n">
        <v>1</v>
      </c>
      <c r="I26" s="27" t="n">
        <v>1</v>
      </c>
      <c r="J26" s="22" t="n">
        <v>15</v>
      </c>
      <c r="K26" s="22">
        <f>IF(OR(H26="",J26="",J26=0),"",H26*J26)</f>
        <v/>
      </c>
      <c r="L26" s="5" t="inlineStr">
        <is>
          <t>IKEA / Home Depot</t>
        </is>
      </c>
      <c r="M26" s="5" t="inlineStr">
        <is>
          <t>Generic anti-tip strap kit</t>
        </is>
      </c>
      <c r="N26" s="5" t="inlineStr"/>
      <c r="O26" s="5" t="inlineStr">
        <is>
          <t>Confirmed</t>
        </is>
      </c>
      <c r="P26" s="5" t="inlineStr">
        <is>
          <t>medium</t>
        </is>
      </c>
      <c r="Q26" s="5" t="inlineStr">
        <is>
          <t>ДОДАНО (review) | ДОДАНО (review) | Ціна збір: 2026-05-28</t>
        </is>
      </c>
    </row>
    <row r="27">
      <c r="A27" s="5" t="n">
        <v>23</v>
      </c>
      <c r="B27" s="5" t="inlineStr">
        <is>
          <t>Furniture</t>
        </is>
      </c>
      <c r="C27" s="5" t="inlineStr">
        <is>
          <t>Safety</t>
        </is>
      </c>
      <c r="D27" s="5" t="inlineStr">
        <is>
          <t>Felt Pads / Floor Protectors</t>
        </is>
      </c>
      <c r="E27" s="5" t="inlineStr">
        <is>
          <t>Захист LVP від furniture</t>
        </is>
      </c>
      <c r="F27" s="5" t="inlineStr">
        <is>
          <t>pack</t>
        </is>
      </c>
      <c r="G27" s="27" t="n">
        <v>1</v>
      </c>
      <c r="H27" s="27" t="n">
        <v>1</v>
      </c>
      <c r="I27" s="27" t="n">
        <v>1</v>
      </c>
      <c r="J27" s="22" t="n">
        <v>10</v>
      </c>
      <c r="K27" s="22">
        <f>IF(OR(H27="",J27="",J27=0),"",H27*J27)</f>
        <v/>
      </c>
      <c r="L27" s="5" t="inlineStr">
        <is>
          <t>Home Depot / Amazon</t>
        </is>
      </c>
      <c r="M27" s="5" t="inlineStr">
        <is>
          <t>Generic felt pads / floor protectors</t>
        </is>
      </c>
      <c r="N27" s="5" t="inlineStr"/>
      <c r="O27" s="5" t="inlineStr">
        <is>
          <t>Confirmed</t>
        </is>
      </c>
      <c r="P27" s="5" t="inlineStr">
        <is>
          <t>medium</t>
        </is>
      </c>
      <c r="Q27" s="5" t="inlineStr">
        <is>
          <t>ДОДАНО (review) | ДОДАНО (review) | Ціна збір: 2026-05-28</t>
        </is>
      </c>
    </row>
    <row r="28">
      <c r="A28" s="5" t="n">
        <v>24</v>
      </c>
      <c r="B28" s="5" t="inlineStr">
        <is>
          <t>Furniture</t>
        </is>
      </c>
      <c r="C28" s="5" t="inlineStr">
        <is>
          <t>Electronics</t>
        </is>
      </c>
      <c r="D28" s="5" t="inlineStr">
        <is>
          <t>TV (Optional)</t>
        </is>
      </c>
      <c r="E28" s="5" t="inlineStr">
        <is>
          <t>Якщо fully furnished scenario</t>
        </is>
      </c>
      <c r="F28" s="5" t="inlineStr">
        <is>
          <t>pcs</t>
        </is>
      </c>
      <c r="G28" s="27" t="n">
        <v>0</v>
      </c>
      <c r="H28" s="27" t="n">
        <v>0</v>
      </c>
      <c r="I28" s="27" t="n">
        <v>1</v>
      </c>
      <c r="J28" s="22" t="n">
        <v>400</v>
      </c>
      <c r="K28" s="22">
        <f>IF(OR(H28="",J28="",J28=0),"",H28*J28)</f>
        <v/>
      </c>
      <c r="L28" s="5" t="inlineStr">
        <is>
          <t>Best Buy / Amazon</t>
        </is>
      </c>
      <c r="M28" s="5" t="inlineStr">
        <is>
          <t>TV 43-55" (Optional)</t>
        </is>
      </c>
      <c r="N28" s="5" t="inlineStr"/>
      <c r="O28" s="5" t="inlineStr">
        <is>
          <t>Optional</t>
        </is>
      </c>
      <c r="P28" s="5" t="inlineStr">
        <is>
          <t>medium</t>
        </is>
      </c>
      <c r="Q28" s="5" t="inlineStr">
        <is>
          <t>ДОДАНО (review): Optional | ДОДАНО (review): qty 0 baseline | Ціна збір: 2026-05-28</t>
        </is>
      </c>
    </row>
    <row r="29">
      <c r="A29" s="5" t="n">
        <v>25</v>
      </c>
      <c r="B29" s="5" t="inlineStr">
        <is>
          <t>Furniture</t>
        </is>
      </c>
      <c r="C29" s="5" t="inlineStr">
        <is>
          <t>Furniture</t>
        </is>
      </c>
      <c r="D29" s="5" t="inlineStr">
        <is>
          <t>Compact Desk + Chair (Optional)</t>
        </is>
      </c>
      <c r="E29" s="5" t="inlineStr">
        <is>
          <t>Work/study area allowance</t>
        </is>
      </c>
      <c r="F29" s="5" t="inlineStr">
        <is>
          <t>set</t>
        </is>
      </c>
      <c r="G29" s="27" t="n">
        <v>0</v>
      </c>
      <c r="H29" s="27" t="n">
        <v>0</v>
      </c>
      <c r="I29" s="27" t="n">
        <v>1</v>
      </c>
      <c r="J29" s="22" t="n">
        <v>150</v>
      </c>
      <c r="K29" s="22">
        <f>IF(OR(H29="",J29="",J29=0),"",H29*J29)</f>
        <v/>
      </c>
      <c r="L29" s="5" t="inlineStr">
        <is>
          <t>IKEA</t>
        </is>
      </c>
      <c r="M29" s="5" t="inlineStr">
        <is>
          <t>IKEA compact desk + chair (Optional)</t>
        </is>
      </c>
      <c r="N29" s="5" t="inlineStr"/>
      <c r="O29" s="5" t="inlineStr">
        <is>
          <t>Optional</t>
        </is>
      </c>
      <c r="P29" s="5" t="inlineStr">
        <is>
          <t>medium</t>
        </is>
      </c>
      <c r="Q29" s="5" t="inlineStr">
        <is>
          <t>ДОДАНО (review) | ДОДАНО (review) | Ціна збір: 2026-05-28</t>
        </is>
      </c>
    </row>
    <row r="30">
      <c r="A30" s="5" t="n">
        <v>26</v>
      </c>
      <c r="B30" s="5" t="inlineStr">
        <is>
          <t>Furniture</t>
        </is>
      </c>
      <c r="C30" s="5" t="inlineStr">
        <is>
          <t>Closet</t>
        </is>
      </c>
      <c r="D30" s="5" t="inlineStr">
        <is>
          <t>Hangers Set (Optional)</t>
        </is>
      </c>
      <c r="E30" s="5" t="inlineStr">
        <is>
          <t>Closet basics</t>
        </is>
      </c>
      <c r="F30" s="5" t="inlineStr">
        <is>
          <t>set</t>
        </is>
      </c>
      <c r="G30" s="27" t="n">
        <v>0</v>
      </c>
      <c r="H30" s="27" t="n">
        <v>0</v>
      </c>
      <c r="I30" s="27" t="n">
        <v>1</v>
      </c>
      <c r="J30" s="22" t="n">
        <v>20</v>
      </c>
      <c r="K30" s="22">
        <f>IF(OR(H30="",J30="",J30=0),"",H30*J30)</f>
        <v/>
      </c>
      <c r="L30" s="5" t="inlineStr">
        <is>
          <t>IKEA</t>
        </is>
      </c>
      <c r="M30" s="5" t="inlineStr">
        <is>
          <t>Generic hangers set 50pc (Optional)</t>
        </is>
      </c>
      <c r="N30" s="5" t="inlineStr"/>
      <c r="O30" s="5" t="inlineStr">
        <is>
          <t>Optional</t>
        </is>
      </c>
      <c r="P30" s="5" t="inlineStr">
        <is>
          <t>medium</t>
        </is>
      </c>
      <c r="Q30" s="5" t="inlineStr">
        <is>
          <t>ДОДАНО (review): cross-ref Phase 14 r21 also | ДОДАНО (review) | Ціна збір: 2026-05-28</t>
        </is>
      </c>
    </row>
    <row r="31">
      <c r="A31" s="5" t="n">
        <v>27</v>
      </c>
      <c r="B31" s="5" t="inlineStr">
        <is>
          <t>Furniture</t>
        </is>
      </c>
      <c r="C31" s="5" t="inlineStr">
        <is>
          <t>Bathroom Storage</t>
        </is>
      </c>
      <c r="D31" s="5" t="inlineStr">
        <is>
          <t>Bath Mat + Towels (Optional)</t>
        </is>
      </c>
      <c r="E31" s="5" t="inlineStr">
        <is>
          <t>Bathroom textiles allowance</t>
        </is>
      </c>
      <c r="F31" s="5" t="inlineStr">
        <is>
          <t>set</t>
        </is>
      </c>
      <c r="G31" s="27" t="n">
        <v>0</v>
      </c>
      <c r="H31" s="27" t="n">
        <v>0</v>
      </c>
      <c r="I31" s="27" t="n">
        <v>1</v>
      </c>
      <c r="J31" s="22" t="n">
        <v>40</v>
      </c>
      <c r="K31" s="22">
        <f>IF(OR(H31="",J31="",J31=0),"",H31*J31)</f>
        <v/>
      </c>
      <c r="L31" s="5" t="inlineStr">
        <is>
          <t>IKEA / Amazon</t>
        </is>
      </c>
      <c r="M31" s="5" t="inlineStr">
        <is>
          <t>Bath mat + towels set (Optional)</t>
        </is>
      </c>
      <c r="N31" s="5" t="inlineStr"/>
      <c r="O31" s="5" t="inlineStr">
        <is>
          <t>Optional</t>
        </is>
      </c>
      <c r="P31" s="5" t="inlineStr">
        <is>
          <t>medium</t>
        </is>
      </c>
      <c r="Q31" s="5" t="inlineStr">
        <is>
          <t>ДОДАНО (review) | ДОДАНО (review) | Ціна збір: 2026-05-28</t>
        </is>
      </c>
    </row>
    <row r="33">
      <c r="A33" s="8" t="n"/>
      <c r="B33" s="8" t="n"/>
      <c r="C33" s="9" t="inlineStr">
        <is>
          <t>ПІДСУМОК ФАЗИ</t>
        </is>
      </c>
      <c r="D33" s="8" t="n"/>
      <c r="E33" s="8" t="n"/>
      <c r="F33" s="8" t="n"/>
      <c r="G33" s="8" t="n"/>
      <c r="H33" s="8" t="n"/>
      <c r="I33" s="8" t="n"/>
      <c r="J33" s="8" t="n"/>
      <c r="K33" s="24">
        <f>SUM(K5:K31)</f>
        <v/>
      </c>
      <c r="L33" s="8" t="n"/>
      <c r="M33" s="8" t="n"/>
      <c r="N33" s="8" t="n"/>
      <c r="O33" s="8" t="n"/>
      <c r="P33" s="8" t="n"/>
      <c r="Q33" s="8" t="n"/>
    </row>
  </sheetData>
  <autoFilter ref="A4:Q31"/>
  <mergeCells count="2">
    <mergeCell ref="A2:Q2"/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Cross-reference — Special Orders (§31.5)</t>
        </is>
      </c>
    </row>
    <row r="2" ht="18" customHeight="1">
      <c r="A2" s="3" t="inlineStr">
        <is>
          <t>Special items з lead times 4-12 weeks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19" t="n">
        <v>1</v>
      </c>
      <c r="B5" s="19" t="inlineStr">
        <is>
          <t>Special Order</t>
        </is>
      </c>
      <c r="C5" s="19" t="inlineStr">
        <is>
          <t>Doors</t>
        </is>
      </c>
      <c r="D5" s="19" t="inlineStr">
        <is>
          <t>Backyard French Door</t>
        </is>
      </c>
      <c r="E5" s="19" t="inlineStr">
        <is>
          <t>Glazed, exterior</t>
        </is>
      </c>
      <c r="F5" s="19" t="inlineStr">
        <is>
          <t>pcs</t>
        </is>
      </c>
      <c r="G5" s="28" t="n">
        <v>1</v>
      </c>
      <c r="H5" s="28" t="n">
        <v>1</v>
      </c>
      <c r="I5" s="28" t="n">
        <v>1</v>
      </c>
      <c r="J5" s="29" t="n"/>
      <c r="K5" s="29">
        <f>IF(OR(H5="",J5="",J5=0),"",H5*J5)</f>
        <v/>
      </c>
      <c r="L5" s="19" t="inlineStr">
        <is>
          <t>Special Order</t>
        </is>
      </c>
      <c r="M5" s="19" t="inlineStr"/>
      <c r="N5" s="19" t="inlineStr"/>
      <c r="O5" s="19" t="inlineStr">
        <is>
          <t>Confirmed</t>
        </is>
      </c>
      <c r="P5" s="19" t="inlineStr"/>
      <c r="Q5" s="19" t="inlineStr">
        <is>
          <t>→ Лист #05. Lead time 4-8 weeks</t>
        </is>
      </c>
    </row>
    <row r="6">
      <c r="A6" s="19" t="n">
        <v>2</v>
      </c>
      <c r="B6" s="19" t="inlineStr">
        <is>
          <t>Special Order</t>
        </is>
      </c>
      <c r="C6" s="19" t="inlineStr">
        <is>
          <t>Doors</t>
        </is>
      </c>
      <c r="D6" s="19" t="inlineStr">
        <is>
          <t>Folding / Panel Door System 8 ft</t>
        </is>
      </c>
      <c r="E6" s="19" t="inlineStr">
        <is>
          <t>Між bedroom і living</t>
        </is>
      </c>
      <c r="F6" s="19" t="inlineStr">
        <is>
          <t>system</t>
        </is>
      </c>
      <c r="G6" s="28" t="n">
        <v>1</v>
      </c>
      <c r="H6" s="28" t="n">
        <v>1</v>
      </c>
      <c r="I6" s="28" t="n">
        <v>1</v>
      </c>
      <c r="J6" s="29" t="n"/>
      <c r="K6" s="29">
        <f>IF(OR(H6="",J6="",J6=0),"",H6*J6)</f>
        <v/>
      </c>
      <c r="L6" s="19" t="inlineStr">
        <is>
          <t>Special Order</t>
        </is>
      </c>
      <c r="M6" s="19" t="inlineStr"/>
      <c r="N6" s="19" t="inlineStr"/>
      <c r="O6" s="19" t="inlineStr">
        <is>
          <t>Confirmed</t>
        </is>
      </c>
      <c r="P6" s="19" t="inlineStr"/>
      <c r="Q6" s="19" t="inlineStr">
        <is>
          <t>→ Лист #05. Lead 6-10 weeks</t>
        </is>
      </c>
    </row>
    <row r="7">
      <c r="A7" s="19" t="n">
        <v>3</v>
      </c>
      <c r="B7" s="19" t="inlineStr">
        <is>
          <t>Special Order</t>
        </is>
      </c>
      <c r="C7" s="19" t="inlineStr">
        <is>
          <t>HVAC</t>
        </is>
      </c>
      <c r="D7" s="19" t="inlineStr">
        <is>
          <t>Mini-split Outdoor Condenser</t>
        </is>
      </c>
      <c r="E7" s="19" t="inlineStr">
        <is>
          <t>Multi-zone</t>
        </is>
      </c>
      <c r="F7" s="19" t="inlineStr">
        <is>
          <t>pcs</t>
        </is>
      </c>
      <c r="G7" s="28" t="n">
        <v>1</v>
      </c>
      <c r="H7" s="28" t="n">
        <v>1</v>
      </c>
      <c r="I7" s="28" t="n">
        <v>1</v>
      </c>
      <c r="J7" s="29" t="n"/>
      <c r="K7" s="29">
        <f>IF(OR(H7="",J7="",J7=0),"",H7*J7)</f>
        <v/>
      </c>
      <c r="L7" s="19" t="inlineStr">
        <is>
          <t>Special Order</t>
        </is>
      </c>
      <c r="M7" s="19" t="inlineStr"/>
      <c r="N7" s="19" t="inlineStr"/>
      <c r="O7" s="19" t="inlineStr">
        <is>
          <t>Confirmed</t>
        </is>
      </c>
      <c r="P7" s="19" t="inlineStr"/>
      <c r="Q7" s="19" t="inlineStr">
        <is>
          <t>→ Лист #08. Lead 4-8 weeks</t>
        </is>
      </c>
    </row>
    <row r="8">
      <c r="A8" s="19" t="n">
        <v>4</v>
      </c>
      <c r="B8" s="19" t="inlineStr">
        <is>
          <t>Special Order</t>
        </is>
      </c>
      <c r="C8" s="19" t="inlineStr">
        <is>
          <t>HVAC</t>
        </is>
      </c>
      <c r="D8" s="19" t="inlineStr">
        <is>
          <t>Mini-split Indoor Units (2)</t>
        </is>
      </c>
      <c r="E8" s="19" t="inlineStr">
        <is>
          <t>Wall-mounted</t>
        </is>
      </c>
      <c r="F8" s="19" t="inlineStr">
        <is>
          <t>pcs</t>
        </is>
      </c>
      <c r="G8" s="28" t="n">
        <v>2</v>
      </c>
      <c r="H8" s="28" t="n">
        <v>2</v>
      </c>
      <c r="I8" s="28" t="n">
        <v>2</v>
      </c>
      <c r="J8" s="29" t="n"/>
      <c r="K8" s="29">
        <f>IF(OR(H8="",J8="",J8=0),"",H8*J8)</f>
        <v/>
      </c>
      <c r="L8" s="19" t="inlineStr">
        <is>
          <t>Special Order</t>
        </is>
      </c>
      <c r="M8" s="19" t="inlineStr"/>
      <c r="N8" s="19" t="inlineStr"/>
      <c r="O8" s="19" t="inlineStr">
        <is>
          <t>Confirmed</t>
        </is>
      </c>
      <c r="P8" s="19" t="inlineStr"/>
      <c r="Q8" s="19" t="inlineStr">
        <is>
          <t>→ Лист #08</t>
        </is>
      </c>
    </row>
    <row r="9">
      <c r="A9" s="19" t="n">
        <v>5</v>
      </c>
      <c r="B9" s="19" t="inlineStr">
        <is>
          <t>Special Order</t>
        </is>
      </c>
      <c r="C9" s="19" t="inlineStr">
        <is>
          <t>Laundry</t>
        </is>
      </c>
      <c r="D9" s="19" t="inlineStr">
        <is>
          <t>Compact Washer 24"</t>
        </is>
      </c>
      <c r="E9" s="19" t="inlineStr">
        <is>
          <t>Stacked</t>
        </is>
      </c>
      <c r="F9" s="19" t="inlineStr">
        <is>
          <t>pcs</t>
        </is>
      </c>
      <c r="G9" s="28" t="n">
        <v>1</v>
      </c>
      <c r="H9" s="28" t="n">
        <v>1</v>
      </c>
      <c r="I9" s="28" t="n">
        <v>1</v>
      </c>
      <c r="J9" s="29" t="n"/>
      <c r="K9" s="29">
        <f>IF(OR(H9="",J9="",J9=0),"",H9*J9)</f>
        <v/>
      </c>
      <c r="L9" s="19" t="inlineStr">
        <is>
          <t>Special Order</t>
        </is>
      </c>
      <c r="M9" s="19" t="inlineStr"/>
      <c r="N9" s="19" t="inlineStr"/>
      <c r="O9" s="19" t="inlineStr">
        <is>
          <t>Confirmed</t>
        </is>
      </c>
      <c r="P9" s="19" t="inlineStr"/>
      <c r="Q9" s="19" t="inlineStr">
        <is>
          <t>→ Лист #17. Lead 4-6 weeks</t>
        </is>
      </c>
    </row>
    <row r="10">
      <c r="A10" s="19" t="n">
        <v>6</v>
      </c>
      <c r="B10" s="19" t="inlineStr">
        <is>
          <t>Special Order</t>
        </is>
      </c>
      <c r="C10" s="19" t="inlineStr">
        <is>
          <t>Laundry</t>
        </is>
      </c>
      <c r="D10" s="19" t="inlineStr">
        <is>
          <t>Ventless Compact Dryer 24"</t>
        </is>
      </c>
      <c r="E10" s="19" t="inlineStr">
        <is>
          <t>Heat pump/condenser</t>
        </is>
      </c>
      <c r="F10" s="19" t="inlineStr">
        <is>
          <t>pcs</t>
        </is>
      </c>
      <c r="G10" s="28" t="n">
        <v>1</v>
      </c>
      <c r="H10" s="28" t="n">
        <v>1</v>
      </c>
      <c r="I10" s="28" t="n">
        <v>1</v>
      </c>
      <c r="J10" s="29" t="n"/>
      <c r="K10" s="29">
        <f>IF(OR(H10="",J10="",J10=0),"",H10*J10)</f>
        <v/>
      </c>
      <c r="L10" s="19" t="inlineStr">
        <is>
          <t>Special Order</t>
        </is>
      </c>
      <c r="M10" s="19" t="inlineStr"/>
      <c r="N10" s="19" t="inlineStr"/>
      <c r="O10" s="19" t="inlineStr">
        <is>
          <t>Confirmed</t>
        </is>
      </c>
      <c r="P10" s="19" t="inlineStr"/>
      <c r="Q10" s="19" t="inlineStr">
        <is>
          <t>→ Лист #17</t>
        </is>
      </c>
    </row>
    <row r="11">
      <c r="A11" s="5" t="n">
        <v>7</v>
      </c>
      <c r="B11" s="5" t="inlineStr">
        <is>
          <t>Special Order</t>
        </is>
      </c>
      <c r="C11" s="5" t="inlineStr">
        <is>
          <t>Water Heater</t>
        </is>
      </c>
      <c r="D11" s="5" t="inlineStr">
        <is>
          <t>Electric Tank Water Heater 20-30 gal</t>
        </is>
      </c>
      <c r="E11" s="5" t="inlineStr"/>
      <c r="F11" s="5" t="inlineStr">
        <is>
          <t>pcs</t>
        </is>
      </c>
      <c r="G11" s="27" t="n">
        <v>1</v>
      </c>
      <c r="H11" s="27" t="n">
        <v>1</v>
      </c>
      <c r="I11" s="27" t="n">
        <v>1</v>
      </c>
      <c r="J11" s="22" t="n"/>
      <c r="K11" s="22">
        <f>IF(OR(H11="",J11="",J11=0),"",H11*J11)</f>
        <v/>
      </c>
      <c r="L11" s="5" t="inlineStr">
        <is>
          <t>Home Depot / specialty</t>
        </is>
      </c>
      <c r="M11" s="5" t="inlineStr"/>
      <c r="N11" s="5" t="inlineStr"/>
      <c r="O11" s="5" t="inlineStr">
        <is>
          <t>Confirmed</t>
        </is>
      </c>
      <c r="P11" s="5" t="inlineStr"/>
      <c r="Q11" s="5" t="inlineStr">
        <is>
          <t>→ Лист #16. Можна купити stock</t>
        </is>
      </c>
    </row>
    <row r="13">
      <c r="A13" s="8" t="n"/>
      <c r="B13" s="8" t="n"/>
      <c r="C13" s="9" t="inlineStr">
        <is>
          <t>ПІДСУМОК ФАЗИ</t>
        </is>
      </c>
      <c r="D13" s="8" t="n"/>
      <c r="E13" s="8" t="n"/>
      <c r="F13" s="8" t="n"/>
      <c r="G13" s="8" t="n"/>
      <c r="H13" s="8" t="n"/>
      <c r="I13" s="8" t="n"/>
      <c r="J13" s="8" t="n"/>
      <c r="K13" s="24">
        <f>SUM(K5:K11)</f>
        <v/>
      </c>
      <c r="L13" s="8" t="n"/>
      <c r="M13" s="8" t="n"/>
      <c r="N13" s="8" t="n"/>
      <c r="O13" s="8" t="n"/>
      <c r="P13" s="8" t="n"/>
      <c r="Q13" s="8" t="n"/>
    </row>
  </sheetData>
  <autoFilter ref="A4:Q11"/>
  <mergeCells count="2">
    <mergeCell ref="A2:Q2"/>
    <mergeCell ref="A1:Q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8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6" customWidth="1" min="12" max="12"/>
    <col width="22" customWidth="1" min="13" max="13"/>
    <col width="32" customWidth="1" min="14" max="14"/>
    <col width="12" customWidth="1" min="15" max="15"/>
    <col width="11" customWidth="1" min="16" max="16"/>
    <col width="40" customWidth="1" min="17" max="17"/>
  </cols>
  <sheetData>
    <row r="1" ht="24" customHeight="1">
      <c r="A1" s="1" t="inlineStr">
        <is>
          <t>Cross-reference — Verification Items (§33)</t>
        </is>
      </c>
    </row>
    <row r="2" ht="18" customHeight="1">
      <c r="A2" s="3" t="inlineStr">
        <is>
          <t>26 пунктів must-verify-before-ordering</t>
        </is>
      </c>
    </row>
    <row r="4" ht="32" customHeight="1">
      <c r="A4" s="4" t="inlineStr">
        <is>
          <t>#</t>
        </is>
      </c>
      <c r="B4" s="4" t="inlineStr">
        <is>
          <t>Phase</t>
        </is>
      </c>
      <c r="C4" s="4" t="inlineStr">
        <is>
          <t>Категорія</t>
        </is>
      </c>
      <c r="D4" s="4" t="inlineStr">
        <is>
          <t>Item / Material</t>
        </is>
      </c>
      <c r="E4" s="4" t="inlineStr">
        <is>
          <t>Spec / Опис</t>
        </is>
      </c>
      <c r="F4" s="4" t="inlineStr">
        <is>
          <t>Unit</t>
        </is>
      </c>
      <c r="G4" s="4" t="inlineStr">
        <is>
          <t>Qty (Low)</t>
        </is>
      </c>
      <c r="H4" s="4" t="inlineStr">
        <is>
          <t>Qty (Mid)</t>
        </is>
      </c>
      <c r="I4" s="4" t="inlineStr">
        <is>
          <t>Qty (High)</t>
        </is>
      </c>
      <c r="J4" s="4" t="inlineStr">
        <is>
          <t>Unit Price ($)</t>
        </is>
      </c>
      <c r="K4" s="4" t="inlineStr">
        <is>
          <t>Total ($)</t>
        </is>
      </c>
      <c r="L4" s="4" t="inlineStr">
        <is>
          <t>Source</t>
        </is>
      </c>
      <c r="M4" s="4" t="inlineStr">
        <is>
          <t>SKU / Model</t>
        </is>
      </c>
      <c r="N4" s="4" t="inlineStr">
        <is>
          <t>URL</t>
        </is>
      </c>
      <c r="O4" s="4" t="inlineStr">
        <is>
          <t>Status</t>
        </is>
      </c>
      <c r="P4" s="4" t="inlineStr">
        <is>
          <t>Confidence</t>
        </is>
      </c>
      <c r="Q4" s="4" t="inlineStr">
        <is>
          <t>Notes</t>
        </is>
      </c>
    </row>
    <row r="5">
      <c r="A5" s="5" t="n">
        <v>1</v>
      </c>
      <c r="B5" s="5" t="inlineStr">
        <is>
          <t>Verification</t>
        </is>
      </c>
      <c r="C5" s="5" t="inlineStr">
        <is>
          <t>Field</t>
        </is>
      </c>
      <c r="D5" s="5" t="inlineStr">
        <is>
          <t>Exact field dimensions of garage</t>
        </is>
      </c>
      <c r="E5" s="5" t="inlineStr">
        <is>
          <t>Total ADU footprint</t>
        </is>
      </c>
      <c r="F5" s="5" t="inlineStr">
        <is>
          <t>—</t>
        </is>
      </c>
      <c r="G5" s="27" t="n">
        <v>0</v>
      </c>
      <c r="H5" s="27" t="n">
        <v>0</v>
      </c>
      <c r="I5" s="27" t="n">
        <v>0</v>
      </c>
      <c r="J5" s="22" t="n"/>
      <c r="K5" s="22">
        <f>IF(OR(H5="",J5="",J5=0),"",H5*J5)</f>
        <v/>
      </c>
      <c r="L5" s="5" t="inlineStr">
        <is>
          <t>Field measurement</t>
        </is>
      </c>
      <c r="M5" s="5" t="inlineStr"/>
      <c r="N5" s="5" t="inlineStr"/>
      <c r="O5" s="5" t="inlineStr">
        <is>
          <t>TBD</t>
        </is>
      </c>
      <c r="P5" s="5" t="inlineStr"/>
      <c r="Q5" s="5" t="inlineStr">
        <is>
          <t>ТЗ §33.1</t>
        </is>
      </c>
    </row>
    <row r="6">
      <c r="A6" s="5" t="n">
        <v>2</v>
      </c>
      <c r="B6" s="5" t="inlineStr">
        <is>
          <t>Verification</t>
        </is>
      </c>
      <c r="C6" s="5" t="inlineStr">
        <is>
          <t>Field</t>
        </is>
      </c>
      <c r="D6" s="5" t="inlineStr">
        <is>
          <t>Exact wall thicknesses</t>
        </is>
      </c>
      <c r="E6" s="5" t="inlineStr">
        <is>
          <t>Interior + exterior</t>
        </is>
      </c>
      <c r="F6" s="5" t="inlineStr">
        <is>
          <t>—</t>
        </is>
      </c>
      <c r="G6" s="27" t="n">
        <v>0</v>
      </c>
      <c r="H6" s="27" t="n">
        <v>0</v>
      </c>
      <c r="I6" s="27" t="n">
        <v>0</v>
      </c>
      <c r="J6" s="22" t="n"/>
      <c r="K6" s="22">
        <f>IF(OR(H6="",J6="",J6=0),"",H6*J6)</f>
        <v/>
      </c>
      <c r="L6" s="5" t="inlineStr">
        <is>
          <t>Field measurement</t>
        </is>
      </c>
      <c r="M6" s="5" t="inlineStr"/>
      <c r="N6" s="5" t="inlineStr"/>
      <c r="O6" s="5" t="inlineStr">
        <is>
          <t>TBD</t>
        </is>
      </c>
      <c r="P6" s="5" t="inlineStr"/>
      <c r="Q6" s="5" t="inlineStr">
        <is>
          <t>ТЗ §33.2</t>
        </is>
      </c>
    </row>
    <row r="7">
      <c r="A7" s="5" t="n">
        <v>3</v>
      </c>
      <c r="B7" s="5" t="inlineStr">
        <is>
          <t>Verification</t>
        </is>
      </c>
      <c r="C7" s="5" t="inlineStr">
        <is>
          <t>Field</t>
        </is>
      </c>
      <c r="D7" s="5" t="inlineStr">
        <is>
          <t>Exact interior wall layout</t>
        </is>
      </c>
      <c r="E7" s="5" t="inlineStr"/>
      <c r="F7" s="5" t="inlineStr">
        <is>
          <t>—</t>
        </is>
      </c>
      <c r="G7" s="27" t="n">
        <v>0</v>
      </c>
      <c r="H7" s="27" t="n">
        <v>0</v>
      </c>
      <c r="I7" s="27" t="n">
        <v>0</v>
      </c>
      <c r="J7" s="22" t="n"/>
      <c r="K7" s="22">
        <f>IF(OR(H7="",J7="",J7=0),"",H7*J7)</f>
        <v/>
      </c>
      <c r="L7" s="5" t="inlineStr">
        <is>
          <t>Field measurement</t>
        </is>
      </c>
      <c r="M7" s="5" t="inlineStr"/>
      <c r="N7" s="5" t="inlineStr"/>
      <c r="O7" s="5" t="inlineStr">
        <is>
          <t>TBD</t>
        </is>
      </c>
      <c r="P7" s="5" t="inlineStr"/>
      <c r="Q7" s="5" t="inlineStr">
        <is>
          <t>ТЗ §33.3</t>
        </is>
      </c>
    </row>
    <row r="8">
      <c r="A8" s="5" t="n">
        <v>4</v>
      </c>
      <c r="B8" s="5" t="inlineStr">
        <is>
          <t>Verification</t>
        </is>
      </c>
      <c r="C8" s="5" t="inlineStr">
        <is>
          <t>Field</t>
        </is>
      </c>
      <c r="D8" s="5" t="inlineStr">
        <is>
          <t>Exact bathroom size after laundry/utility</t>
        </is>
      </c>
      <c r="E8" s="5" t="inlineStr"/>
      <c r="F8" s="5" t="inlineStr">
        <is>
          <t>—</t>
        </is>
      </c>
      <c r="G8" s="27" t="n">
        <v>0</v>
      </c>
      <c r="H8" s="27" t="n">
        <v>0</v>
      </c>
      <c r="I8" s="27" t="n">
        <v>0</v>
      </c>
      <c r="J8" s="22" t="n"/>
      <c r="K8" s="22">
        <f>IF(OR(H8="",J8="",J8=0),"",H8*J8)</f>
        <v/>
      </c>
      <c r="L8" s="5" t="inlineStr">
        <is>
          <t>Field measurement</t>
        </is>
      </c>
      <c r="M8" s="5" t="inlineStr"/>
      <c r="N8" s="5" t="inlineStr"/>
      <c r="O8" s="5" t="inlineStr">
        <is>
          <t>TBD</t>
        </is>
      </c>
      <c r="P8" s="5" t="inlineStr"/>
      <c r="Q8" s="5" t="inlineStr">
        <is>
          <t>ТЗ §33.4</t>
        </is>
      </c>
    </row>
    <row r="9">
      <c r="A9" s="5" t="n">
        <v>5</v>
      </c>
      <c r="B9" s="5" t="inlineStr">
        <is>
          <t>Verification</t>
        </is>
      </c>
      <c r="C9" s="5" t="inlineStr">
        <is>
          <t>Field</t>
        </is>
      </c>
      <c r="D9" s="5" t="inlineStr">
        <is>
          <t>Exact location of stacked washer/dryer</t>
        </is>
      </c>
      <c r="E9" s="5" t="inlineStr"/>
      <c r="F9" s="5" t="inlineStr">
        <is>
          <t>—</t>
        </is>
      </c>
      <c r="G9" s="27" t="n">
        <v>0</v>
      </c>
      <c r="H9" s="27" t="n">
        <v>0</v>
      </c>
      <c r="I9" s="27" t="n">
        <v>0</v>
      </c>
      <c r="J9" s="22" t="n"/>
      <c r="K9" s="22">
        <f>IF(OR(H9="",J9="",J9=0),"",H9*J9)</f>
        <v/>
      </c>
      <c r="L9" s="5" t="inlineStr">
        <is>
          <t>Field measurement</t>
        </is>
      </c>
      <c r="M9" s="5" t="inlineStr"/>
      <c r="N9" s="5" t="inlineStr"/>
      <c r="O9" s="5" t="inlineStr">
        <is>
          <t>TBD</t>
        </is>
      </c>
      <c r="P9" s="5" t="inlineStr"/>
      <c r="Q9" s="5" t="inlineStr">
        <is>
          <t>ТЗ §33.5</t>
        </is>
      </c>
    </row>
    <row r="10">
      <c r="A10" s="5" t="n">
        <v>6</v>
      </c>
      <c r="B10" s="5" t="inlineStr">
        <is>
          <t>Verification</t>
        </is>
      </c>
      <c r="C10" s="5" t="inlineStr">
        <is>
          <t>Field</t>
        </is>
      </c>
      <c r="D10" s="5" t="inlineStr">
        <is>
          <t>Exact utility closet size &amp; location</t>
        </is>
      </c>
      <c r="E10" s="5" t="inlineStr"/>
      <c r="F10" s="5" t="inlineStr">
        <is>
          <t>—</t>
        </is>
      </c>
      <c r="G10" s="27" t="n">
        <v>0</v>
      </c>
      <c r="H10" s="27" t="n">
        <v>0</v>
      </c>
      <c r="I10" s="27" t="n">
        <v>0</v>
      </c>
      <c r="J10" s="22" t="n"/>
      <c r="K10" s="22">
        <f>IF(OR(H10="",J10="",J10=0),"",H10*J10)</f>
        <v/>
      </c>
      <c r="L10" s="5" t="inlineStr">
        <is>
          <t>Field measurement</t>
        </is>
      </c>
      <c r="M10" s="5" t="inlineStr"/>
      <c r="N10" s="5" t="inlineStr"/>
      <c r="O10" s="5" t="inlineStr">
        <is>
          <t>TBD</t>
        </is>
      </c>
      <c r="P10" s="5" t="inlineStr"/>
      <c r="Q10" s="5" t="inlineStr">
        <is>
          <t>ТЗ §33.6</t>
        </is>
      </c>
    </row>
    <row r="11">
      <c r="A11" s="5" t="n">
        <v>7</v>
      </c>
      <c r="B11" s="5" t="inlineStr">
        <is>
          <t>Verification</t>
        </is>
      </c>
      <c r="C11" s="5" t="inlineStr">
        <is>
          <t>Specs</t>
        </is>
      </c>
      <c r="D11" s="5" t="inlineStr">
        <is>
          <t>Electric tank water heater size</t>
        </is>
      </c>
      <c r="E11" s="5" t="inlineStr">
        <is>
          <t>20 vs 30 gal</t>
        </is>
      </c>
      <c r="F11" s="5" t="inlineStr">
        <is>
          <t>—</t>
        </is>
      </c>
      <c r="G11" s="27" t="n">
        <v>0</v>
      </c>
      <c r="H11" s="27" t="n">
        <v>0</v>
      </c>
      <c r="I11" s="27" t="n">
        <v>0</v>
      </c>
      <c r="J11" s="22" t="n"/>
      <c r="K11" s="22">
        <f>IF(OR(H11="",J11="",J11=0),"",H11*J11)</f>
        <v/>
      </c>
      <c r="L11" s="5" t="inlineStr">
        <is>
          <t>Specification</t>
        </is>
      </c>
      <c r="M11" s="5" t="inlineStr"/>
      <c r="N11" s="5" t="inlineStr"/>
      <c r="O11" s="5" t="inlineStr">
        <is>
          <t>TBD</t>
        </is>
      </c>
      <c r="P11" s="5" t="inlineStr"/>
      <c r="Q11" s="5" t="inlineStr">
        <is>
          <t>ТЗ §33.7</t>
        </is>
      </c>
    </row>
    <row r="12">
      <c r="A12" s="5" t="n">
        <v>8</v>
      </c>
      <c r="B12" s="5" t="inlineStr">
        <is>
          <t>Verification</t>
        </is>
      </c>
      <c r="C12" s="5" t="inlineStr">
        <is>
          <t>Specs</t>
        </is>
      </c>
      <c r="D12" s="5" t="inlineStr">
        <is>
          <t>Exact washer/dryer model</t>
        </is>
      </c>
      <c r="E12" s="5" t="inlineStr">
        <is>
          <t>Особисто per brand</t>
        </is>
      </c>
      <c r="F12" s="5" t="inlineStr">
        <is>
          <t>—</t>
        </is>
      </c>
      <c r="G12" s="27" t="n">
        <v>0</v>
      </c>
      <c r="H12" s="27" t="n">
        <v>0</v>
      </c>
      <c r="I12" s="27" t="n">
        <v>0</v>
      </c>
      <c r="J12" s="22" t="n"/>
      <c r="K12" s="22">
        <f>IF(OR(H12="",J12="",J12=0),"",H12*J12)</f>
        <v/>
      </c>
      <c r="L12" s="5" t="inlineStr">
        <is>
          <t>Specification</t>
        </is>
      </c>
      <c r="M12" s="5" t="inlineStr"/>
      <c r="N12" s="5" t="inlineStr"/>
      <c r="O12" s="5" t="inlineStr">
        <is>
          <t>TBD</t>
        </is>
      </c>
      <c r="P12" s="5" t="inlineStr"/>
      <c r="Q12" s="5" t="inlineStr">
        <is>
          <t>ТЗ §33.8</t>
        </is>
      </c>
    </row>
    <row r="13">
      <c r="A13" s="5" t="n">
        <v>9</v>
      </c>
      <c r="B13" s="5" t="inlineStr">
        <is>
          <t>Verification</t>
        </is>
      </c>
      <c r="C13" s="5" t="inlineStr">
        <is>
          <t>Specs</t>
        </is>
      </c>
      <c r="D13" s="5" t="inlineStr">
        <is>
          <t>Mini-split model + BTU sizing</t>
        </is>
      </c>
      <c r="E13" s="5" t="inlineStr">
        <is>
          <t>HVAC load calc</t>
        </is>
      </c>
      <c r="F13" s="5" t="inlineStr">
        <is>
          <t>—</t>
        </is>
      </c>
      <c r="G13" s="27" t="n">
        <v>0</v>
      </c>
      <c r="H13" s="27" t="n">
        <v>0</v>
      </c>
      <c r="I13" s="27" t="n">
        <v>0</v>
      </c>
      <c r="J13" s="22" t="n"/>
      <c r="K13" s="22">
        <f>IF(OR(H13="",J13="",J13=0),"",H13*J13)</f>
        <v/>
      </c>
      <c r="L13" s="5" t="inlineStr">
        <is>
          <t>Specification</t>
        </is>
      </c>
      <c r="M13" s="5" t="inlineStr"/>
      <c r="N13" s="5" t="inlineStr"/>
      <c r="O13" s="5" t="inlineStr">
        <is>
          <t>TBD</t>
        </is>
      </c>
      <c r="P13" s="5" t="inlineStr"/>
      <c r="Q13" s="5" t="inlineStr">
        <is>
          <t>ТЗ §33.9</t>
        </is>
      </c>
    </row>
    <row r="14">
      <c r="A14" s="5" t="n">
        <v>10</v>
      </c>
      <c r="B14" s="5" t="inlineStr">
        <is>
          <t>Verification</t>
        </is>
      </c>
      <c r="C14" s="5" t="inlineStr">
        <is>
          <t>Specs</t>
        </is>
      </c>
      <c r="D14" s="5" t="inlineStr">
        <is>
          <t>Kitchen cabinet layout from IKEA planner</t>
        </is>
      </c>
      <c r="E14" s="5" t="inlineStr"/>
      <c r="F14" s="5" t="inlineStr">
        <is>
          <t>—</t>
        </is>
      </c>
      <c r="G14" s="27" t="n">
        <v>0</v>
      </c>
      <c r="H14" s="27" t="n">
        <v>0</v>
      </c>
      <c r="I14" s="27" t="n">
        <v>0</v>
      </c>
      <c r="J14" s="22" t="n"/>
      <c r="K14" s="22">
        <f>IF(OR(H14="",J14="",J14=0),"",H14*J14)</f>
        <v/>
      </c>
      <c r="L14" s="5" t="inlineStr">
        <is>
          <t>IKEA Planner</t>
        </is>
      </c>
      <c r="M14" s="5" t="inlineStr"/>
      <c r="N14" s="5" t="inlineStr"/>
      <c r="O14" s="5" t="inlineStr">
        <is>
          <t>TBD</t>
        </is>
      </c>
      <c r="P14" s="5" t="inlineStr"/>
      <c r="Q14" s="5" t="inlineStr">
        <is>
          <t>ТЗ §33.10</t>
        </is>
      </c>
    </row>
    <row r="15">
      <c r="A15" s="5" t="n">
        <v>11</v>
      </c>
      <c r="B15" s="5" t="inlineStr">
        <is>
          <t>Verification</t>
        </is>
      </c>
      <c r="C15" s="5" t="inlineStr">
        <is>
          <t>Specs</t>
        </is>
      </c>
      <c r="D15" s="5" t="inlineStr">
        <is>
          <t>Exact appliance dimensions</t>
        </is>
      </c>
      <c r="E15" s="5" t="inlineStr"/>
      <c r="F15" s="5" t="inlineStr">
        <is>
          <t>—</t>
        </is>
      </c>
      <c r="G15" s="27" t="n">
        <v>0</v>
      </c>
      <c r="H15" s="27" t="n">
        <v>0</v>
      </c>
      <c r="I15" s="27" t="n">
        <v>0</v>
      </c>
      <c r="J15" s="22" t="n"/>
      <c r="K15" s="22">
        <f>IF(OR(H15="",J15="",J15=0),"",H15*J15)</f>
        <v/>
      </c>
      <c r="L15" s="5" t="inlineStr">
        <is>
          <t>Specification</t>
        </is>
      </c>
      <c r="M15" s="5" t="inlineStr"/>
      <c r="N15" s="5" t="inlineStr"/>
      <c r="O15" s="5" t="inlineStr">
        <is>
          <t>TBD</t>
        </is>
      </c>
      <c r="P15" s="5" t="inlineStr"/>
      <c r="Q15" s="5" t="inlineStr">
        <is>
          <t>ТЗ §33.11</t>
        </is>
      </c>
    </row>
    <row r="16">
      <c r="A16" s="5" t="n">
        <v>12</v>
      </c>
      <c r="B16" s="5" t="inlineStr">
        <is>
          <t>Verification</t>
        </is>
      </c>
      <c r="C16" s="5" t="inlineStr">
        <is>
          <t>Openings</t>
        </is>
      </c>
      <c r="D16" s="5" t="inlineStr">
        <is>
          <t>Exact window sizes</t>
        </is>
      </c>
      <c r="E16" s="5" t="inlineStr">
        <is>
          <t>3 вікна</t>
        </is>
      </c>
      <c r="F16" s="5" t="inlineStr">
        <is>
          <t>—</t>
        </is>
      </c>
      <c r="G16" s="27" t="n">
        <v>0</v>
      </c>
      <c r="H16" s="27" t="n">
        <v>0</v>
      </c>
      <c r="I16" s="27" t="n">
        <v>0</v>
      </c>
      <c r="J16" s="22" t="n"/>
      <c r="K16" s="22">
        <f>IF(OR(H16="",J16="",J16=0),"",H16*J16)</f>
        <v/>
      </c>
      <c r="L16" s="5" t="inlineStr">
        <is>
          <t>Field + Spec</t>
        </is>
      </c>
      <c r="M16" s="5" t="inlineStr"/>
      <c r="N16" s="5" t="inlineStr"/>
      <c r="O16" s="5" t="inlineStr">
        <is>
          <t>TBD</t>
        </is>
      </c>
      <c r="P16" s="5" t="inlineStr"/>
      <c r="Q16" s="5" t="inlineStr">
        <is>
          <t>ТЗ §33.12</t>
        </is>
      </c>
    </row>
    <row r="17">
      <c r="A17" s="5" t="n">
        <v>13</v>
      </c>
      <c r="B17" s="5" t="inlineStr">
        <is>
          <t>Verification</t>
        </is>
      </c>
      <c r="C17" s="5" t="inlineStr">
        <is>
          <t>Openings</t>
        </is>
      </c>
      <c r="D17" s="5" t="inlineStr">
        <is>
          <t>Exact French door size</t>
        </is>
      </c>
      <c r="E17" s="5" t="inlineStr"/>
      <c r="F17" s="5" t="inlineStr">
        <is>
          <t>—</t>
        </is>
      </c>
      <c r="G17" s="27" t="n">
        <v>0</v>
      </c>
      <c r="H17" s="27" t="n">
        <v>0</v>
      </c>
      <c r="I17" s="27" t="n">
        <v>0</v>
      </c>
      <c r="J17" s="22" t="n"/>
      <c r="K17" s="22">
        <f>IF(OR(H17="",J17="",J17=0),"",H17*J17)</f>
        <v/>
      </c>
      <c r="L17" s="5" t="inlineStr">
        <is>
          <t>Field + Spec</t>
        </is>
      </c>
      <c r="M17" s="5" t="inlineStr"/>
      <c r="N17" s="5" t="inlineStr"/>
      <c r="O17" s="5" t="inlineStr">
        <is>
          <t>TBD</t>
        </is>
      </c>
      <c r="P17" s="5" t="inlineStr"/>
      <c r="Q17" s="5" t="inlineStr">
        <is>
          <t>ТЗ §33.13</t>
        </is>
      </c>
    </row>
    <row r="18">
      <c r="A18" s="5" t="n">
        <v>14</v>
      </c>
      <c r="B18" s="5" t="inlineStr">
        <is>
          <t>Verification</t>
        </is>
      </c>
      <c r="C18" s="5" t="inlineStr">
        <is>
          <t>Openings</t>
        </is>
      </c>
      <c r="D18" s="5" t="inlineStr">
        <is>
          <t>Exact main entry door size</t>
        </is>
      </c>
      <c r="E18" s="5" t="inlineStr"/>
      <c r="F18" s="5" t="inlineStr">
        <is>
          <t>—</t>
        </is>
      </c>
      <c r="G18" s="27" t="n">
        <v>0</v>
      </c>
      <c r="H18" s="27" t="n">
        <v>0</v>
      </c>
      <c r="I18" s="27" t="n">
        <v>0</v>
      </c>
      <c r="J18" s="22" t="n"/>
      <c r="K18" s="22">
        <f>IF(OR(H18="",J18="",J18=0),"",H18*J18)</f>
        <v/>
      </c>
      <c r="L18" s="5" t="inlineStr">
        <is>
          <t>Field + Spec</t>
        </is>
      </c>
      <c r="M18" s="5" t="inlineStr"/>
      <c r="N18" s="5" t="inlineStr"/>
      <c r="O18" s="5" t="inlineStr">
        <is>
          <t>TBD</t>
        </is>
      </c>
      <c r="P18" s="5" t="inlineStr"/>
      <c r="Q18" s="5" t="inlineStr">
        <is>
          <t>ТЗ §33.14</t>
        </is>
      </c>
    </row>
    <row r="19">
      <c r="A19" s="5" t="n">
        <v>15</v>
      </c>
      <c r="B19" s="5" t="inlineStr">
        <is>
          <t>Verification</t>
        </is>
      </c>
      <c r="C19" s="5" t="inlineStr">
        <is>
          <t>Openings</t>
        </is>
      </c>
      <c r="D19" s="5" t="inlineStr">
        <is>
          <t>Folding/panel system product + RO</t>
        </is>
      </c>
      <c r="E19" s="5" t="inlineStr"/>
      <c r="F19" s="5" t="inlineStr">
        <is>
          <t>—</t>
        </is>
      </c>
      <c r="G19" s="27" t="n">
        <v>0</v>
      </c>
      <c r="H19" s="27" t="n">
        <v>0</v>
      </c>
      <c r="I19" s="27" t="n">
        <v>0</v>
      </c>
      <c r="J19" s="22" t="n"/>
      <c r="K19" s="22">
        <f>IF(OR(H19="",J19="",J19=0),"",H19*J19)</f>
        <v/>
      </c>
      <c r="L19" s="5" t="inlineStr">
        <is>
          <t>Spec</t>
        </is>
      </c>
      <c r="M19" s="5" t="inlineStr"/>
      <c r="N19" s="5" t="inlineStr"/>
      <c r="O19" s="5" t="inlineStr">
        <is>
          <t>TBD</t>
        </is>
      </c>
      <c r="P19" s="5" t="inlineStr"/>
      <c r="Q19" s="5" t="inlineStr">
        <is>
          <t>ТЗ §33.15</t>
        </is>
      </c>
    </row>
    <row r="20">
      <c r="A20" s="5" t="n">
        <v>16</v>
      </c>
      <c r="B20" s="5" t="inlineStr">
        <is>
          <t>Verification</t>
        </is>
      </c>
      <c r="C20" s="5" t="inlineStr">
        <is>
          <t>Openings</t>
        </is>
      </c>
      <c r="D20" s="5" t="inlineStr">
        <is>
          <t>Closet sliding door size</t>
        </is>
      </c>
      <c r="E20" s="5" t="inlineStr"/>
      <c r="F20" s="5" t="inlineStr">
        <is>
          <t>—</t>
        </is>
      </c>
      <c r="G20" s="27" t="n">
        <v>0</v>
      </c>
      <c r="H20" s="27" t="n">
        <v>0</v>
      </c>
      <c r="I20" s="27" t="n">
        <v>0</v>
      </c>
      <c r="J20" s="22" t="n"/>
      <c r="K20" s="22">
        <f>IF(OR(H20="",J20="",J20=0),"",H20*J20)</f>
        <v/>
      </c>
      <c r="L20" s="5" t="inlineStr">
        <is>
          <t>Field + Spec</t>
        </is>
      </c>
      <c r="M20" s="5" t="inlineStr"/>
      <c r="N20" s="5" t="inlineStr"/>
      <c r="O20" s="5" t="inlineStr">
        <is>
          <t>TBD</t>
        </is>
      </c>
      <c r="P20" s="5" t="inlineStr"/>
      <c r="Q20" s="5" t="inlineStr">
        <is>
          <t>ТЗ §33.16</t>
        </is>
      </c>
    </row>
    <row r="21">
      <c r="A21" s="5" t="n">
        <v>17</v>
      </c>
      <c r="B21" s="5" t="inlineStr">
        <is>
          <t>Verification</t>
        </is>
      </c>
      <c r="C21" s="5" t="inlineStr">
        <is>
          <t>MEP</t>
        </is>
      </c>
      <c r="D21" s="5" t="inlineStr">
        <is>
          <t>Sewer route + slope verification</t>
        </is>
      </c>
      <c r="E21" s="5" t="inlineStr">
        <is>
          <t>1/4" per ft min</t>
        </is>
      </c>
      <c r="F21" s="5" t="inlineStr">
        <is>
          <t>—</t>
        </is>
      </c>
      <c r="G21" s="27" t="n">
        <v>0</v>
      </c>
      <c r="H21" s="27" t="n">
        <v>0</v>
      </c>
      <c r="I21" s="27" t="n">
        <v>0</v>
      </c>
      <c r="J21" s="22" t="n"/>
      <c r="K21" s="22">
        <f>IF(OR(H21="",J21="",J21=0),"",H21*J21)</f>
        <v/>
      </c>
      <c r="L21" s="5" t="inlineStr">
        <is>
          <t>Site survey</t>
        </is>
      </c>
      <c r="M21" s="5" t="inlineStr"/>
      <c r="N21" s="5" t="inlineStr"/>
      <c r="O21" s="5" t="inlineStr">
        <is>
          <t>TBD</t>
        </is>
      </c>
      <c r="P21" s="5" t="inlineStr"/>
      <c r="Q21" s="5" t="inlineStr">
        <is>
          <t>ТЗ §33.17</t>
        </is>
      </c>
    </row>
    <row r="22">
      <c r="A22" s="5" t="n">
        <v>18</v>
      </c>
      <c r="B22" s="5" t="inlineStr">
        <is>
          <t>Verification</t>
        </is>
      </c>
      <c r="C22" s="5" t="inlineStr">
        <is>
          <t>MEP</t>
        </is>
      </c>
      <c r="D22" s="5" t="inlineStr">
        <is>
          <t>Water supply route</t>
        </is>
      </c>
      <c r="E22" s="5" t="inlineStr"/>
      <c r="F22" s="5" t="inlineStr">
        <is>
          <t>—</t>
        </is>
      </c>
      <c r="G22" s="27" t="n">
        <v>0</v>
      </c>
      <c r="H22" s="27" t="n">
        <v>0</v>
      </c>
      <c r="I22" s="27" t="n">
        <v>0</v>
      </c>
      <c r="J22" s="22" t="n"/>
      <c r="K22" s="22">
        <f>IF(OR(H22="",J22="",J22=0),"",H22*J22)</f>
        <v/>
      </c>
      <c r="L22" s="5" t="inlineStr">
        <is>
          <t>Site survey</t>
        </is>
      </c>
      <c r="M22" s="5" t="inlineStr"/>
      <c r="N22" s="5" t="inlineStr"/>
      <c r="O22" s="5" t="inlineStr">
        <is>
          <t>TBD</t>
        </is>
      </c>
      <c r="P22" s="5" t="inlineStr"/>
      <c r="Q22" s="5" t="inlineStr">
        <is>
          <t>ТЗ §33.18</t>
        </is>
      </c>
    </row>
    <row r="23">
      <c r="A23" s="5" t="n">
        <v>19</v>
      </c>
      <c r="B23" s="5" t="inlineStr">
        <is>
          <t>Verification</t>
        </is>
      </c>
      <c r="C23" s="5" t="inlineStr">
        <is>
          <t>MEP</t>
        </is>
      </c>
      <c r="D23" s="5" t="inlineStr">
        <is>
          <t>Electrical route</t>
        </is>
      </c>
      <c r="E23" s="5" t="inlineStr">
        <is>
          <t>Underground or overhead</t>
        </is>
      </c>
      <c r="F23" s="5" t="inlineStr">
        <is>
          <t>—</t>
        </is>
      </c>
      <c r="G23" s="27" t="n">
        <v>0</v>
      </c>
      <c r="H23" s="27" t="n">
        <v>0</v>
      </c>
      <c r="I23" s="27" t="n">
        <v>0</v>
      </c>
      <c r="J23" s="22" t="n"/>
      <c r="K23" s="22">
        <f>IF(OR(H23="",J23="",J23=0),"",H23*J23)</f>
        <v/>
      </c>
      <c r="L23" s="5" t="inlineStr">
        <is>
          <t>Site survey</t>
        </is>
      </c>
      <c r="M23" s="5" t="inlineStr"/>
      <c r="N23" s="5" t="inlineStr"/>
      <c r="O23" s="5" t="inlineStr">
        <is>
          <t>TBD</t>
        </is>
      </c>
      <c r="P23" s="5" t="inlineStr"/>
      <c r="Q23" s="5" t="inlineStr">
        <is>
          <t>ТЗ §33.19</t>
        </is>
      </c>
    </row>
    <row r="24">
      <c r="A24" s="5" t="n">
        <v>20</v>
      </c>
      <c r="B24" s="5" t="inlineStr">
        <is>
          <t>Verification</t>
        </is>
      </c>
      <c r="C24" s="5" t="inlineStr">
        <is>
          <t>MEP</t>
        </is>
      </c>
      <c r="D24" s="5" t="inlineStr">
        <is>
          <t>Existing main electrical panel capacity</t>
        </is>
      </c>
      <c r="E24" s="5" t="inlineStr">
        <is>
          <t>Amperage</t>
        </is>
      </c>
      <c r="F24" s="5" t="inlineStr">
        <is>
          <t>—</t>
        </is>
      </c>
      <c r="G24" s="27" t="n">
        <v>0</v>
      </c>
      <c r="H24" s="27" t="n">
        <v>0</v>
      </c>
      <c r="I24" s="27" t="n">
        <v>0</v>
      </c>
      <c r="J24" s="22" t="n"/>
      <c r="K24" s="22">
        <f>IF(OR(H24="",J24="",J24=0),"",H24*J24)</f>
        <v/>
      </c>
      <c r="L24" s="5" t="inlineStr">
        <is>
          <t>Electrician</t>
        </is>
      </c>
      <c r="M24" s="5" t="inlineStr"/>
      <c r="N24" s="5" t="inlineStr"/>
      <c r="O24" s="5" t="inlineStr">
        <is>
          <t>TBD</t>
        </is>
      </c>
      <c r="P24" s="5" t="inlineStr"/>
      <c r="Q24" s="5" t="inlineStr">
        <is>
          <t>ТЗ §33.20</t>
        </is>
      </c>
    </row>
    <row r="25">
      <c r="A25" s="5" t="n">
        <v>21</v>
      </c>
      <c r="B25" s="5" t="inlineStr">
        <is>
          <t>Verification</t>
        </is>
      </c>
      <c r="C25" s="5" t="inlineStr">
        <is>
          <t>MEP</t>
        </is>
      </c>
      <c r="D25" s="5" t="inlineStr">
        <is>
          <t>Required ADU subpanel amperage</t>
        </is>
      </c>
      <c r="E25" s="5" t="inlineStr">
        <is>
          <t>100A vs 125A</t>
        </is>
      </c>
      <c r="F25" s="5" t="inlineStr">
        <is>
          <t>—</t>
        </is>
      </c>
      <c r="G25" s="27" t="n">
        <v>0</v>
      </c>
      <c r="H25" s="27" t="n">
        <v>0</v>
      </c>
      <c r="I25" s="27" t="n">
        <v>0</v>
      </c>
      <c r="J25" s="22" t="n"/>
      <c r="K25" s="22">
        <f>IF(OR(H25="",J25="",J25=0),"",H25*J25)</f>
        <v/>
      </c>
      <c r="L25" s="5" t="inlineStr">
        <is>
          <t>Electrician</t>
        </is>
      </c>
      <c r="M25" s="5" t="inlineStr"/>
      <c r="N25" s="5" t="inlineStr"/>
      <c r="O25" s="5" t="inlineStr">
        <is>
          <t>TBD</t>
        </is>
      </c>
      <c r="P25" s="5" t="inlineStr"/>
      <c r="Q25" s="5" t="inlineStr">
        <is>
          <t>ТЗ §33.21</t>
        </is>
      </c>
    </row>
    <row r="26">
      <c r="A26" s="5" t="n">
        <v>22</v>
      </c>
      <c r="B26" s="5" t="inlineStr">
        <is>
          <t>Verification</t>
        </is>
      </c>
      <c r="C26" s="5" t="inlineStr">
        <is>
          <t>Floor</t>
        </is>
      </c>
      <c r="D26" s="5" t="inlineStr">
        <is>
          <t>Floor slab leveling needed?</t>
        </is>
      </c>
      <c r="E26" s="5" t="inlineStr"/>
      <c r="F26" s="5" t="inlineStr">
        <is>
          <t>—</t>
        </is>
      </c>
      <c r="G26" s="27" t="n">
        <v>0</v>
      </c>
      <c r="H26" s="27" t="n">
        <v>0</v>
      </c>
      <c r="I26" s="27" t="n">
        <v>0</v>
      </c>
      <c r="J26" s="22" t="n"/>
      <c r="K26" s="22">
        <f>IF(OR(H26="",J26="",J26=0),"",H26*J26)</f>
        <v/>
      </c>
      <c r="L26" s="5" t="inlineStr">
        <is>
          <t>Field inspection</t>
        </is>
      </c>
      <c r="M26" s="5" t="inlineStr"/>
      <c r="N26" s="5" t="inlineStr"/>
      <c r="O26" s="5" t="inlineStr">
        <is>
          <t>TBD</t>
        </is>
      </c>
      <c r="P26" s="5" t="inlineStr"/>
      <c r="Q26" s="5" t="inlineStr">
        <is>
          <t>ТЗ §33.22</t>
        </is>
      </c>
    </row>
    <row r="27">
      <c r="A27" s="5" t="n">
        <v>23</v>
      </c>
      <c r="B27" s="5" t="inlineStr">
        <is>
          <t>Verification</t>
        </is>
      </c>
      <c r="C27" s="5" t="inlineStr">
        <is>
          <t>Floor</t>
        </is>
      </c>
      <c r="D27" s="5" t="inlineStr">
        <is>
          <t>Moisture mitigation over slab?</t>
        </is>
      </c>
      <c r="E27" s="5" t="inlineStr">
        <is>
          <t>Vapor barrier sufficient?</t>
        </is>
      </c>
      <c r="F27" s="5" t="inlineStr">
        <is>
          <t>—</t>
        </is>
      </c>
      <c r="G27" s="27" t="n">
        <v>0</v>
      </c>
      <c r="H27" s="27" t="n">
        <v>0</v>
      </c>
      <c r="I27" s="27" t="n">
        <v>0</v>
      </c>
      <c r="J27" s="22" t="n"/>
      <c r="K27" s="22">
        <f>IF(OR(H27="",J27="",J27=0),"",H27*J27)</f>
        <v/>
      </c>
      <c r="L27" s="5" t="inlineStr">
        <is>
          <t>Field inspection</t>
        </is>
      </c>
      <c r="M27" s="5" t="inlineStr"/>
      <c r="N27" s="5" t="inlineStr"/>
      <c r="O27" s="5" t="inlineStr">
        <is>
          <t>TBD</t>
        </is>
      </c>
      <c r="P27" s="5" t="inlineStr"/>
      <c r="Q27" s="5" t="inlineStr">
        <is>
          <t>ТЗ §33.23</t>
        </is>
      </c>
    </row>
    <row r="28">
      <c r="A28" s="5" t="n">
        <v>24</v>
      </c>
      <c r="B28" s="5" t="inlineStr">
        <is>
          <t>Verification</t>
        </is>
      </c>
      <c r="C28" s="5" t="inlineStr">
        <is>
          <t>Bath</t>
        </is>
      </c>
      <c r="D28" s="5" t="inlineStr">
        <is>
          <t>Additional waterproofing in wet zones?</t>
        </is>
      </c>
      <c r="E28" s="5" t="inlineStr"/>
      <c r="F28" s="5" t="inlineStr">
        <is>
          <t>—</t>
        </is>
      </c>
      <c r="G28" s="27" t="n">
        <v>0</v>
      </c>
      <c r="H28" s="27" t="n">
        <v>0</v>
      </c>
      <c r="I28" s="27" t="n">
        <v>0</v>
      </c>
      <c r="J28" s="22" t="n"/>
      <c r="K28" s="22">
        <f>IF(OR(H28="",J28="",J28=0),"",H28*J28)</f>
        <v/>
      </c>
      <c r="L28" s="5" t="inlineStr">
        <is>
          <t>Spec</t>
        </is>
      </c>
      <c r="M28" s="5" t="inlineStr"/>
      <c r="N28" s="5" t="inlineStr"/>
      <c r="O28" s="5" t="inlineStr">
        <is>
          <t>TBD</t>
        </is>
      </c>
      <c r="P28" s="5" t="inlineStr"/>
      <c r="Q28" s="5" t="inlineStr">
        <is>
          <t>ТЗ §33.24</t>
        </is>
      </c>
    </row>
    <row r="29">
      <c r="A29" s="5" t="n">
        <v>25</v>
      </c>
      <c r="B29" s="5" t="inlineStr">
        <is>
          <t>Verification</t>
        </is>
      </c>
      <c r="C29" s="5" t="inlineStr">
        <is>
          <t>Framing</t>
        </is>
      </c>
      <c r="D29" s="5" t="inlineStr">
        <is>
          <t>Structural headers for exterior openings?</t>
        </is>
      </c>
      <c r="E29" s="5" t="inlineStr">
        <is>
          <t>Engineer review</t>
        </is>
      </c>
      <c r="F29" s="5" t="inlineStr">
        <is>
          <t>—</t>
        </is>
      </c>
      <c r="G29" s="27" t="n">
        <v>0</v>
      </c>
      <c r="H29" s="27" t="n">
        <v>0</v>
      </c>
      <c r="I29" s="27" t="n">
        <v>0</v>
      </c>
      <c r="J29" s="22" t="n"/>
      <c r="K29" s="22">
        <f>IF(OR(H29="",J29="",J29=0),"",H29*J29)</f>
        <v/>
      </c>
      <c r="L29" s="5" t="inlineStr">
        <is>
          <t>Engineering</t>
        </is>
      </c>
      <c r="M29" s="5" t="inlineStr"/>
      <c r="N29" s="5" t="inlineStr"/>
      <c r="O29" s="5" t="inlineStr">
        <is>
          <t>TBD</t>
        </is>
      </c>
      <c r="P29" s="5" t="inlineStr"/>
      <c r="Q29" s="5" t="inlineStr">
        <is>
          <t>ТЗ §33.25</t>
        </is>
      </c>
    </row>
    <row r="30">
      <c r="A30" s="5" t="n">
        <v>26</v>
      </c>
      <c r="B30" s="5" t="inlineStr">
        <is>
          <t>Verification</t>
        </is>
      </c>
      <c r="C30" s="5" t="inlineStr">
        <is>
          <t>Code</t>
        </is>
      </c>
      <c r="D30" s="5" t="inlineStr">
        <is>
          <t>Menlo Park / CA code requirements</t>
        </is>
      </c>
      <c r="E30" s="5" t="inlineStr">
        <is>
          <t>Fire, energy, vent, safety</t>
        </is>
      </c>
      <c r="F30" s="5" t="inlineStr">
        <is>
          <t>—</t>
        </is>
      </c>
      <c r="G30" s="27" t="n">
        <v>0</v>
      </c>
      <c r="H30" s="27" t="n">
        <v>0</v>
      </c>
      <c r="I30" s="27" t="n">
        <v>0</v>
      </c>
      <c r="J30" s="22" t="n"/>
      <c r="K30" s="22">
        <f>IF(OR(H30="",J30="",J30=0),"",H30*J30)</f>
        <v/>
      </c>
      <c r="L30" s="5" t="inlineStr">
        <is>
          <t>Code review</t>
        </is>
      </c>
      <c r="M30" s="5" t="inlineStr"/>
      <c r="N30" s="5" t="inlineStr"/>
      <c r="O30" s="5" t="inlineStr">
        <is>
          <t>TBD</t>
        </is>
      </c>
      <c r="P30" s="5" t="inlineStr"/>
      <c r="Q30" s="5" t="inlineStr">
        <is>
          <t>ТЗ §33.26</t>
        </is>
      </c>
    </row>
    <row r="32">
      <c r="A32" s="8" t="n"/>
      <c r="B32" s="8" t="n"/>
      <c r="C32" s="9" t="inlineStr">
        <is>
          <t>ПІДСУМОК ФАЗИ</t>
        </is>
      </c>
      <c r="D32" s="8" t="n"/>
      <c r="E32" s="8" t="n"/>
      <c r="F32" s="8" t="n"/>
      <c r="G32" s="8" t="n"/>
      <c r="H32" s="8" t="n"/>
      <c r="I32" s="8" t="n"/>
      <c r="J32" s="8" t="n"/>
      <c r="K32" s="24">
        <f>SUM(K5:K30)</f>
        <v/>
      </c>
      <c r="L32" s="8" t="n"/>
      <c r="M32" s="8" t="n"/>
      <c r="N32" s="8" t="n"/>
      <c r="O32" s="8" t="n"/>
      <c r="P32" s="8" t="n"/>
      <c r="Q32" s="8" t="n"/>
    </row>
  </sheetData>
  <autoFilter ref="A4:Q30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2026-05-28T17:23:02Z</dcterms:created>
  <dcterms:modified xmlns:dcterms="http://purl.org/dc/terms/" xmlns:xsi="http://www.w3.org/2001/XMLSchema-instance" xsi:type="dcterms:W3CDTF">2026-05-28T17:23:03Z</dcterms:modified>
</cp:coreProperties>
</file>